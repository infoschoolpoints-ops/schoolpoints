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מיצד\SchoolPoints\גיבוי רובע\יריד\"/>
    </mc:Choice>
  </mc:AlternateContent>
  <xr:revisionPtr revIDLastSave="0" documentId="13_ncr:1_{C097CBF6-3133-4A5E-AD04-97864527834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סיכום כללי" sheetId="1" r:id="rId1"/>
    <sheet name="תמחור מפורט" sheetId="2" r:id="rId2"/>
    <sheet name="בדיקת קיצון" sheetId="3" r:id="rId3"/>
    <sheet name="לוח זמנים" sheetId="4" r:id="rId4"/>
    <sheet name="מלאי מוצרים" sheetId="5" r:id="rId5"/>
    <sheet name="תבנית קופה" sheetId="6" r:id="rId6"/>
  </sheets>
  <definedNames>
    <definedName name="_xlnm._FilterDatabase" localSheetId="4" hidden="1">'מלאי מוצרים'!$A$1:$H$47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5" l="1"/>
  <c r="F45" i="5"/>
  <c r="F5" i="5"/>
</calcChain>
</file>

<file path=xl/sharedStrings.xml><?xml version="1.0" encoding="utf-8"?>
<sst xmlns="http://schemas.openxmlformats.org/spreadsheetml/2006/main" count="604" uniqueCount="330">
  <si>
    <t>נתוני בסיס</t>
  </si>
  <si>
    <t>סה"כ תלמידים</t>
  </si>
  <si>
    <t>תלמידים רלוונטיים</t>
  </si>
  <si>
    <t>ללא קיצוניים מתחת 1,200</t>
  </si>
  <si>
    <t>סה"כ נקודות</t>
  </si>
  <si>
    <t>381,342</t>
  </si>
  <si>
    <t>ממוצע נקודות</t>
  </si>
  <si>
    <t>מינימום רלוונטי</t>
  </si>
  <si>
    <t>מקסימום</t>
  </si>
  <si>
    <t>חציון</t>
  </si>
  <si>
    <t>זמן היריד</t>
  </si>
  <si>
    <t>התחלה</t>
  </si>
  <si>
    <t>12:00</t>
  </si>
  <si>
    <t>סיום</t>
  </si>
  <si>
    <t>16:00</t>
  </si>
  <si>
    <t>משך</t>
  </si>
  <si>
    <t>4 שעות = 240 דקות</t>
  </si>
  <si>
    <t>חלוקת תקציב נקודות</t>
  </si>
  <si>
    <t>תחום</t>
  </si>
  <si>
    <t>תלמיד ממוצע (1,680)</t>
  </si>
  <si>
    <t>תלמיד חלש (1,216)</t>
  </si>
  <si>
    <t>חנות מוצרים (~30%)</t>
  </si>
  <si>
    <t>דוכני מזון (~8%)</t>
  </si>
  <si>
    <t>מכירה סינית (~15%)</t>
  </si>
  <si>
    <t>דוכני פעילות (~20%)</t>
  </si>
  <si>
    <t>טרמפולינות (~15%)</t>
  </si>
  <si>
    <t>רזרבה (~12%)</t>
  </si>
  <si>
    <t>סה"כ</t>
  </si>
  <si>
    <t>חנות מוצרים – מחירון</t>
  </si>
  <si>
    <t>רמה</t>
  </si>
  <si>
    <t>טווח מחירים (נקודות)</t>
  </si>
  <si>
    <t>דוגמאות</t>
  </si>
  <si>
    <t>עלות ש"ח</t>
  </si>
  <si>
    <t>פרס יקר</t>
  </si>
  <si>
    <t>200–350</t>
  </si>
  <si>
    <t>טישטרמייל, שעון מחשבון, חליפת הצלה, חותמות</t>
  </si>
  <si>
    <t>8–30₪</t>
  </si>
  <si>
    <t>פרס בינוני</t>
  </si>
  <si>
    <t>80–180</t>
  </si>
  <si>
    <t>טטריס, דומינו, קסם, כובע מרוקאי, שלג, זקן, זיקוקים, חוטים</t>
  </si>
  <si>
    <t>4–6₪</t>
  </si>
  <si>
    <t>פרס זול</t>
  </si>
  <si>
    <t>20–60</t>
  </si>
  <si>
    <t>צינור שרשור, פרופלור, טיסן, צפצפה, עט מרגלים, מסכות, מטוס, פטישונים</t>
  </si>
  <si>
    <t>0.8–3₪</t>
  </si>
  <si>
    <t>דוכני מזון – מחירון</t>
  </si>
  <si>
    <t>דוכן</t>
  </si>
  <si>
    <t>מחיר (נקודות)</t>
  </si>
  <si>
    <t>הערות</t>
  </si>
  <si>
    <t>אייס קפה</t>
  </si>
  <si>
    <t>מנה אחת לתלמיד</t>
  </si>
  <si>
    <t>פופקורן</t>
  </si>
  <si>
    <t>לחמניה + נקניק</t>
  </si>
  <si>
    <t>ימבמבם / שערות סבתא</t>
  </si>
  <si>
    <t>סה"כ מזון לתלמיד</t>
  </si>
  <si>
    <t>מכירה סינית – הגרלה</t>
  </si>
  <si>
    <t>פריט</t>
  </si>
  <si>
    <t>ערך</t>
  </si>
  <si>
    <t>מחיר כרטיס הגרלה</t>
  </si>
  <si>
    <t>25 נקודות</t>
  </si>
  <si>
    <t>מקסימום מומלץ</t>
  </si>
  <si>
    <t>~15% מהנקודות</t>
  </si>
  <si>
    <t>פרס 1: מקרנצ'יק + 2 קלטות</t>
  </si>
  <si>
    <t>409₪</t>
  </si>
  <si>
    <t>פרס ראשי</t>
  </si>
  <si>
    <t>פרס 2: קורקינט</t>
  </si>
  <si>
    <t>150₪</t>
  </si>
  <si>
    <t>פרס 3: אוקי טוקי</t>
  </si>
  <si>
    <t>135₪</t>
  </si>
  <si>
    <t>פרס 4: מגפון</t>
  </si>
  <si>
    <t>59₪</t>
  </si>
  <si>
    <t>פרסים 5–10</t>
  </si>
  <si>
    <t>לקבוע</t>
  </si>
  <si>
    <t>6 פרסים נוספים</t>
  </si>
  <si>
    <t>~7 כרטיסים</t>
  </si>
  <si>
    <t>180 נק</t>
  </si>
  <si>
    <t>~10 כרטיסים</t>
  </si>
  <si>
    <t>250 נק</t>
  </si>
  <si>
    <t>תלמיד חזק (1,880)</t>
  </si>
  <si>
    <t>~11 כרטיסים</t>
  </si>
  <si>
    <t>280 נק</t>
  </si>
  <si>
    <t>סה"כ כרטיסים משוער</t>
  </si>
  <si>
    <t>~2,100</t>
  </si>
  <si>
    <t>227 x ~9.3</t>
  </si>
  <si>
    <t>דוכני פעילות - 10 דוכנים</t>
  </si>
  <si>
    <t>מחיר כניסה לדוכן</t>
  </si>
  <si>
    <t>תלמיד חלש - דוכנים</t>
  </si>
  <si>
    <t>~10</t>
  </si>
  <si>
    <t>245 נק = כל 10</t>
  </si>
  <si>
    <t>תלמיד ממוצע - דוכנים</t>
  </si>
  <si>
    <t>~13</t>
  </si>
  <si>
    <t>335 נק = כולם + חזרות</t>
  </si>
  <si>
    <t>טרמפולינות - 2 מתקנים</t>
  </si>
  <si>
    <t>מחיר סיבוב (10 דק')</t>
  </si>
  <si>
    <t>50 נקודות</t>
  </si>
  <si>
    <t>קיבולת בו-זמנית</t>
  </si>
  <si>
    <t>10 ילדים x 2 מתקנים = 20</t>
  </si>
  <si>
    <t>סיבובים/שעה</t>
  </si>
  <si>
    <t>6 x 20 = 120 סיבובים/שעה</t>
  </si>
  <si>
    <t>תלמיד חלש - סיבובים</t>
  </si>
  <si>
    <t>3–4</t>
  </si>
  <si>
    <t>תלמיד ממוצע - סיבובים</t>
  </si>
  <si>
    <t>5</t>
  </si>
  <si>
    <t>פעילות</t>
  </si>
  <si>
    <t>מחיר ליחידה</t>
  </si>
  <si>
    <t>תלמיד חלש (1,216) נק</t>
  </si>
  <si>
    <t>כמות</t>
  </si>
  <si>
    <t>תלמיד ממוצע (1,680) נק</t>
  </si>
  <si>
    <t>תלמיד חזק (1,880) נק</t>
  </si>
  <si>
    <t>מוצר בינוני</t>
  </si>
  <si>
    <t>מוצר יקר</t>
  </si>
  <si>
    <t>מוצרים זולים</t>
  </si>
  <si>
    <t>מוצרים בינוניים נוספים</t>
  </si>
  <si>
    <t>סה"כ חנות</t>
  </si>
  <si>
    <t>4 מוצרים</t>
  </si>
  <si>
    <t>6 מוצרים</t>
  </si>
  <si>
    <t>7 מוצרים</t>
  </si>
  <si>
    <t>ימבמבם</t>
  </si>
  <si>
    <t>סה"כ מזון</t>
  </si>
  <si>
    <t>4 מנות</t>
  </si>
  <si>
    <t>כרטיסי הגרלה</t>
  </si>
  <si>
    <t>דוכני פעילות</t>
  </si>
  <si>
    <t>סיבוב טרמפולינה</t>
  </si>
  <si>
    <t>נשאר לתלמיד</t>
  </si>
  <si>
    <t>עוד מוצרים/פעילויות</t>
  </si>
  <si>
    <t>כן!</t>
  </si>
  <si>
    <t>לוח זמנים מומלץ</t>
  </si>
  <si>
    <t>שעה</t>
  </si>
  <si>
    <t>אירוע</t>
  </si>
  <si>
    <t>פרטים</t>
  </si>
  <si>
    <t>12:00–12:15</t>
  </si>
  <si>
    <t>פתיחה + הסבר</t>
  </si>
  <si>
    <t>כינוס כללי, חלוקת כרטיסים/הסבר</t>
  </si>
  <si>
    <t>15 דק</t>
  </si>
  <si>
    <t>12:15–14:00</t>
  </si>
  <si>
    <t>יריד פתוח – מחצית א'</t>
  </si>
  <si>
    <t>כיתות א'-ד' בטרמפולינות (132 תלמידים)</t>
  </si>
  <si>
    <t>כולם בשאר הדוכנים</t>
  </si>
  <si>
    <t>14:00–15:15</t>
  </si>
  <si>
    <t>יריד פתוח – מחצית ב'</t>
  </si>
  <si>
    <t>כיתות ה'-ח' בטרמפולינות (103 תלמידים)</t>
  </si>
  <si>
    <t>15:15–15:30</t>
  </si>
  <si>
    <t>סגירת רכישת כרטיסים</t>
  </si>
  <si>
    <t>הזדמנות אחרונה לקנות כרטיסי הגרלה</t>
  </si>
  <si>
    <t>15:30–16:00</t>
  </si>
  <si>
    <t>הגרלת מכירה סינית</t>
  </si>
  <si>
    <t>10 פרסים, הכרזה חגיגית</t>
  </si>
  <si>
    <t>30 דק</t>
  </si>
  <si>
    <t>קיבולת עמדות ותורים</t>
  </si>
  <si>
    <t>עמדה</t>
  </si>
  <si>
    <t>קיבולת/שעה</t>
  </si>
  <si>
    <t>זמן תור ממוצע</t>
  </si>
  <si>
    <t>צוואר בקבוק?</t>
  </si>
  <si>
    <t>חנות מוצרים (1)</t>
  </si>
  <si>
    <t>~70 תלמידים</t>
  </si>
  <si>
    <t>~5 דק כולל תור</t>
  </si>
  <si>
    <t>בינוני – שקול 2 קופות</t>
  </si>
  <si>
    <t>דוכן מזון (x4)</t>
  </si>
  <si>
    <t>~300 תלמידים</t>
  </si>
  <si>
    <t>לא</t>
  </si>
  <si>
    <t>מכ'סינית – רכישה</t>
  </si>
  <si>
    <t>~120 תלמידים</t>
  </si>
  <si>
    <t>~3 דק כולל תור</t>
  </si>
  <si>
    <t>דוכני פעילות (x10)</t>
  </si>
  <si>
    <t>~450 תלמידים</t>
  </si>
  <si>
    <t>~4 דק כולל תור</t>
  </si>
  <si>
    <t>טרמפולינות (x2)</t>
  </si>
  <si>
    <t>120 סיבובים/שעה</t>
  </si>
  <si>
    <t>~10 דק תור + 10 סיבוב</t>
  </si>
  <si>
    <t>כן – לכן מחולק למחציות</t>
  </si>
  <si>
    <t>חישוב טרמפולינות מפורט</t>
  </si>
  <si>
    <t>נתון</t>
  </si>
  <si>
    <t>חישוב</t>
  </si>
  <si>
    <t>מתקנים</t>
  </si>
  <si>
    <t>2</t>
  </si>
  <si>
    <t>ילדים בו-זמנית למתקן</t>
  </si>
  <si>
    <t>10</t>
  </si>
  <si>
    <t>סיבוב</t>
  </si>
  <si>
    <t>10 דקות</t>
  </si>
  <si>
    <t>סיבובים/שעה/מתקן</t>
  </si>
  <si>
    <t>6</t>
  </si>
  <si>
    <t>סיבובים/שעה סה"כ</t>
  </si>
  <si>
    <t>120</t>
  </si>
  <si>
    <t>2 x 10 x 6</t>
  </si>
  <si>
    <t>מחצית א' (כיתות א'-ד')</t>
  </si>
  <si>
    <t>132 תלמידים</t>
  </si>
  <si>
    <t>105 דקות (12:15–14:00)</t>
  </si>
  <si>
    <t>סיבובים במחצית א'</t>
  </si>
  <si>
    <t>210</t>
  </si>
  <si>
    <t>120 x 1.75 שעות</t>
  </si>
  <si>
    <t>סיבובים/תלמיד</t>
  </si>
  <si>
    <t>1.6</t>
  </si>
  <si>
    <t>כל תלמיד מובטח סיבוב 1+</t>
  </si>
  <si>
    <t>מחצית ב' (כיתות ה'-ח')</t>
  </si>
  <si>
    <t>103 תלמידים</t>
  </si>
  <si>
    <t>75 דקות (14:00–15:15)</t>
  </si>
  <si>
    <t>סיבובים במחצית ב'</t>
  </si>
  <si>
    <t>150</t>
  </si>
  <si>
    <t>120 x 1.25 שעות</t>
  </si>
  <si>
    <t>1.5</t>
  </si>
  <si>
    <t>פירוט מוצרים – חנות היריד</t>
  </si>
  <si>
    <t>מס' תמונה</t>
  </si>
  <si>
    <t>מס' סידורי</t>
  </si>
  <si>
    <t>מוצר</t>
  </si>
  <si>
    <t>יחידות במלאי</t>
  </si>
  <si>
    <t>עלות ליחידה ₪</t>
  </si>
  <si>
    <t>סה"כ עלות ₪</t>
  </si>
  <si>
    <t>רמת מחיר</t>
  </si>
  <si>
    <t>מחיר מומלץ (נקודות)</t>
  </si>
  <si>
    <t>שטריימל שחור / לבן</t>
  </si>
  <si>
    <t>יקר</t>
  </si>
  <si>
    <t>שעון מחשבון</t>
  </si>
  <si>
    <t>נחש צפצפה פשוט קטן</t>
  </si>
  <si>
    <t>זול</t>
  </si>
  <si>
    <t>חותמות</t>
  </si>
  <si>
    <t>חליפת הצלה עם כובע</t>
  </si>
  <si>
    <t>כדור מבוך גדול</t>
  </si>
  <si>
    <t>בינוני</t>
  </si>
  <si>
    <t>כובע כבאי</t>
  </si>
  <si>
    <t>מקל סבא</t>
  </si>
  <si>
    <t>מסכה גומי</t>
  </si>
  <si>
    <t>קסם</t>
  </si>
  <si>
    <t>כובע שערות צבעוני</t>
  </si>
  <si>
    <t>טטריס</t>
  </si>
  <si>
    <t>תחפושת נמר 3 חלקים</t>
  </si>
  <si>
    <t>לגו אוטו משטרה</t>
  </si>
  <si>
    <t>כובע מרוקאי</t>
  </si>
  <si>
    <t>דומינו</t>
  </si>
  <si>
    <t>צפצפה (ביקוש!)</t>
  </si>
  <si>
    <t>שלג</t>
  </si>
  <si>
    <t>חוטים</t>
  </si>
  <si>
    <t>זקן שחור</t>
  </si>
  <si>
    <t>זיקוקים</t>
  </si>
  <si>
    <t>עיניים משקפיים נופלות</t>
  </si>
  <si>
    <t>שרביט מלך</t>
  </si>
  <si>
    <t>ארנק</t>
  </si>
  <si>
    <t>ספמים</t>
  </si>
  <si>
    <t>סגרנה מים שפריץ</t>
  </si>
  <si>
    <t>מטוס ידני</t>
  </si>
  <si>
    <t>פטישונים קטנים</t>
  </si>
  <si>
    <t>מעודדות</t>
  </si>
  <si>
    <t>רובה מים קטן</t>
  </si>
  <si>
    <t>ביליארד קטנטן</t>
  </si>
  <si>
    <t>צפצפה</t>
  </si>
  <si>
    <t>טיסן</t>
  </si>
  <si>
    <t>עט מרגלים</t>
  </si>
  <si>
    <t>מטר מדידה</t>
  </si>
  <si>
    <t>צינור שרשור נפתח</t>
  </si>
  <si>
    <t>דוקים</t>
  </si>
  <si>
    <t>אף אדום</t>
  </si>
  <si>
    <t>קפיץ פלסטיק פשוט</t>
  </si>
  <si>
    <t>מסכות דקות</t>
  </si>
  <si>
    <t>פנס אצבע</t>
  </si>
  <si>
    <t>פרופלור מעופף</t>
  </si>
  <si>
    <t>קלפים</t>
  </si>
  <si>
    <t>רעשן</t>
  </si>
  <si>
    <t>מוצרים לתלמיד (ממוצע): 5.7</t>
  </si>
  <si>
    <t>שם פנימי</t>
  </si>
  <si>
    <t>שם תצוגה</t>
  </si>
  <si>
    <t>מזהה קטגוריה</t>
  </si>
  <si>
    <t>קטגוריה</t>
  </si>
  <si>
    <t>מחיר נקודות</t>
  </si>
  <si>
    <t>כמות מלאי</t>
  </si>
  <si>
    <t>תיאור</t>
  </si>
  <si>
    <t>פעיל</t>
  </si>
  <si>
    <t>נתיב תמונה</t>
  </si>
  <si>
    <t>כיתות מורשות</t>
  </si>
  <si>
    <t>סף נקודות</t>
  </si>
  <si>
    <t>מקס לתלמיד</t>
  </si>
  <si>
    <t>מקס לכיתה</t>
  </si>
  <si>
    <t>מחיר מותנה</t>
  </si>
  <si>
    <t>וריאציה 1</t>
  </si>
  <si>
    <t>וריאציה 2</t>
  </si>
  <si>
    <t>וריאציה 3</t>
  </si>
  <si>
    <t>וריאציה 4</t>
  </si>
  <si>
    <t>וריאציה 5</t>
  </si>
  <si>
    <t>טישטרמייל_שחור</t>
  </si>
  <si>
    <t>טישטרמייל שחור</t>
  </si>
  <si>
    <t>1</t>
  </si>
  <si>
    <t>חנות - פרס יקר</t>
  </si>
  <si>
    <t>כן</t>
  </si>
  <si>
    <t>\\10.20.30.175\SchoolPoints\יריד\20</t>
  </si>
  <si>
    <t>שעון_מחשבון</t>
  </si>
  <si>
    <t>נחש_צפצפה</t>
  </si>
  <si>
    <t>חליפת_הצלה</t>
  </si>
  <si>
    <t>כדור_מבוך_גדול</t>
  </si>
  <si>
    <t>חנות - פרס בינוני</t>
  </si>
  <si>
    <t>כובע_כבאי</t>
  </si>
  <si>
    <t>מקל_סבא</t>
  </si>
  <si>
    <t>מסכה_גומי</t>
  </si>
  <si>
    <t>כובע_שערות_צבעוני</t>
  </si>
  <si>
    <t>תחפושת_נמר</t>
  </si>
  <si>
    <t>לגו_אוטו_משטרה</t>
  </si>
  <si>
    <t>כובע_מרוקאי</t>
  </si>
  <si>
    <t>צפצפה_גדולה</t>
  </si>
  <si>
    <t>צפצפה גדולה</t>
  </si>
  <si>
    <t>זקן_שחור</t>
  </si>
  <si>
    <t>עיניים_משקפיים</t>
  </si>
  <si>
    <t>3</t>
  </si>
  <si>
    <t>חנות - פרס זול</t>
  </si>
  <si>
    <t>שרביט_מלך</t>
  </si>
  <si>
    <t>סגרנה_מים</t>
  </si>
  <si>
    <t>מטוס_ידני</t>
  </si>
  <si>
    <t>פטישונים_קטנים</t>
  </si>
  <si>
    <t>רובה_מים_קטן</t>
  </si>
  <si>
    <t>ביליארד_קטנטן</t>
  </si>
  <si>
    <t>עט_מרגלים</t>
  </si>
  <si>
    <t>מטר_מדידה</t>
  </si>
  <si>
    <t>צינור_שרשור</t>
  </si>
  <si>
    <t>אף_אדום</t>
  </si>
  <si>
    <t>קפיץ_פלסטיק</t>
  </si>
  <si>
    <t>מסכות_דקות</t>
  </si>
  <si>
    <t>פנס_אצבע</t>
  </si>
  <si>
    <t>פרופלור_מעופף</t>
  </si>
  <si>
    <t>אייס_קפה</t>
  </si>
  <si>
    <t>4</t>
  </si>
  <si>
    <t>דוכני מזון</t>
  </si>
  <si>
    <t>לחמניה_נקניק</t>
  </si>
  <si>
    <t>כרטיס_פעילות</t>
  </si>
  <si>
    <t>כרטיס דוכן פעילות</t>
  </si>
  <si>
    <t>כרטיס אוניברסלי לכניסה לכל דוכן פעילות (10 דוכנים)</t>
  </si>
  <si>
    <t>כרטיס_הגרלה</t>
  </si>
  <si>
    <t>כרטיס הגרלה - מכירה סינית</t>
  </si>
  <si>
    <t>מכירה סינית</t>
  </si>
  <si>
    <t>כרטיס הגרלה אוניברסלי - התלמיד יחליט איפה לשים את הכרטיס</t>
  </si>
  <si>
    <t>סיבוב_טרמפולינה</t>
  </si>
  <si>
    <t>סיבוב טרמפולינה (10 דקות)</t>
  </si>
  <si>
    <t>7</t>
  </si>
  <si>
    <t>טרמפולינות</t>
  </si>
  <si>
    <t>סיבוב אחד של 10 דקות בטרמפולינה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</si>
</sst>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3"/>
      <color rgb="FF1F3864"/>
      <name val="Arial"/>
    </font>
    <font>
      <sz val="11"/>
      <name val="Calibri"/>
    </font>
    <font>
      <sz val="11"/>
      <color theme="1"/>
      <name val="Arial"/>
    </font>
    <font>
      <b/>
      <sz val="12"/>
      <color rgb="FFFFFFFF"/>
      <name val="Arial"/>
    </font>
    <font>
      <b/>
      <sz val="11"/>
      <color theme="1"/>
      <name val="Arial"/>
    </font>
    <font>
      <b/>
      <sz val="11"/>
      <color rgb="FFFFFFFF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rightToLeft="1" workbookViewId="0">
      <selection sqref="A1:C1"/>
    </sheetView>
  </sheetViews>
  <sheetFormatPr defaultColWidth="14.44140625" defaultRowHeight="15" customHeight="1" x14ac:dyDescent="0.3"/>
  <cols>
    <col min="1" max="1" width="35" customWidth="1"/>
    <col min="2" max="3" width="28" customWidth="1"/>
    <col min="4" max="26" width="8.6640625" customWidth="1"/>
  </cols>
  <sheetData>
    <row r="1" spans="1:3" ht="14.4" x14ac:dyDescent="0.3">
      <c r="A1" s="15" t="s">
        <v>0</v>
      </c>
      <c r="B1" s="16"/>
      <c r="C1" s="17"/>
    </row>
    <row r="2" spans="1:3" ht="14.4" x14ac:dyDescent="0.3">
      <c r="A2" s="1" t="s">
        <v>1</v>
      </c>
      <c r="B2" s="1">
        <v>234</v>
      </c>
      <c r="C2" s="1"/>
    </row>
    <row r="3" spans="1:3" ht="14.4" x14ac:dyDescent="0.3">
      <c r="A3" s="2" t="s">
        <v>2</v>
      </c>
      <c r="B3" s="2">
        <v>227</v>
      </c>
      <c r="C3" s="2" t="s">
        <v>3</v>
      </c>
    </row>
    <row r="4" spans="1:3" ht="14.4" x14ac:dyDescent="0.3">
      <c r="A4" s="1" t="s">
        <v>4</v>
      </c>
      <c r="B4" s="1" t="s">
        <v>5</v>
      </c>
      <c r="C4" s="1"/>
    </row>
    <row r="5" spans="1:3" ht="14.4" x14ac:dyDescent="0.3">
      <c r="A5" s="2" t="s">
        <v>6</v>
      </c>
      <c r="B5" s="2">
        <v>1680</v>
      </c>
      <c r="C5" s="2"/>
    </row>
    <row r="6" spans="1:3" ht="14.4" x14ac:dyDescent="0.3">
      <c r="A6" s="1" t="s">
        <v>7</v>
      </c>
      <c r="B6" s="1">
        <v>1216</v>
      </c>
      <c r="C6" s="1"/>
    </row>
    <row r="7" spans="1:3" ht="14.4" x14ac:dyDescent="0.3">
      <c r="A7" s="2" t="s">
        <v>8</v>
      </c>
      <c r="B7" s="2">
        <v>1880</v>
      </c>
      <c r="C7" s="2"/>
    </row>
    <row r="8" spans="1:3" ht="14.4" x14ac:dyDescent="0.3">
      <c r="A8" s="1" t="s">
        <v>9</v>
      </c>
      <c r="B8" s="1">
        <v>1690</v>
      </c>
      <c r="C8" s="1"/>
    </row>
    <row r="10" spans="1:3" ht="14.4" x14ac:dyDescent="0.3">
      <c r="A10" s="15" t="s">
        <v>10</v>
      </c>
      <c r="B10" s="16"/>
      <c r="C10" s="17"/>
    </row>
    <row r="11" spans="1:3" ht="14.4" x14ac:dyDescent="0.3">
      <c r="A11" s="2" t="s">
        <v>11</v>
      </c>
      <c r="B11" s="2" t="s">
        <v>12</v>
      </c>
      <c r="C11" s="2"/>
    </row>
    <row r="12" spans="1:3" ht="14.4" x14ac:dyDescent="0.3">
      <c r="A12" s="1" t="s">
        <v>13</v>
      </c>
      <c r="B12" s="1" t="s">
        <v>14</v>
      </c>
      <c r="C12" s="1"/>
    </row>
    <row r="13" spans="1:3" ht="14.4" x14ac:dyDescent="0.3">
      <c r="A13" s="2" t="s">
        <v>15</v>
      </c>
      <c r="B13" s="2" t="s">
        <v>16</v>
      </c>
      <c r="C13" s="2"/>
    </row>
    <row r="15" spans="1:3" ht="14.4" x14ac:dyDescent="0.3">
      <c r="A15" s="15" t="s">
        <v>17</v>
      </c>
      <c r="B15" s="16"/>
      <c r="C15" s="17"/>
    </row>
    <row r="16" spans="1:3" ht="15.6" x14ac:dyDescent="0.3">
      <c r="A16" s="3" t="s">
        <v>18</v>
      </c>
      <c r="B16" s="3" t="s">
        <v>19</v>
      </c>
      <c r="C16" s="3" t="s">
        <v>20</v>
      </c>
    </row>
    <row r="17" spans="1:3" ht="14.4" x14ac:dyDescent="0.3">
      <c r="A17" s="2" t="s">
        <v>21</v>
      </c>
      <c r="B17" s="2">
        <v>500</v>
      </c>
      <c r="C17" s="2">
        <v>365</v>
      </c>
    </row>
    <row r="18" spans="1:3" ht="14.4" x14ac:dyDescent="0.3">
      <c r="A18" s="1" t="s">
        <v>22</v>
      </c>
      <c r="B18" s="1">
        <v>120</v>
      </c>
      <c r="C18" s="1">
        <v>120</v>
      </c>
    </row>
    <row r="19" spans="1:3" ht="14.4" x14ac:dyDescent="0.3">
      <c r="A19" s="2" t="s">
        <v>23</v>
      </c>
      <c r="B19" s="2">
        <v>250</v>
      </c>
      <c r="C19" s="2">
        <v>180</v>
      </c>
    </row>
    <row r="20" spans="1:3" ht="14.4" x14ac:dyDescent="0.3">
      <c r="A20" s="1" t="s">
        <v>24</v>
      </c>
      <c r="B20" s="1">
        <v>335</v>
      </c>
      <c r="C20" s="1">
        <v>245</v>
      </c>
    </row>
    <row r="21" spans="1:3" ht="15.75" customHeight="1" x14ac:dyDescent="0.3">
      <c r="A21" s="2" t="s">
        <v>25</v>
      </c>
      <c r="B21" s="2">
        <v>250</v>
      </c>
      <c r="C21" s="2">
        <v>180</v>
      </c>
    </row>
    <row r="22" spans="1:3" ht="15.75" customHeight="1" x14ac:dyDescent="0.3">
      <c r="A22" s="1" t="s">
        <v>26</v>
      </c>
      <c r="B22" s="1">
        <v>225</v>
      </c>
      <c r="C22" s="1">
        <v>126</v>
      </c>
    </row>
    <row r="23" spans="1:3" ht="15.75" customHeight="1" x14ac:dyDescent="0.3">
      <c r="A23" s="4" t="s">
        <v>27</v>
      </c>
      <c r="B23" s="4">
        <v>1680</v>
      </c>
      <c r="C23" s="4">
        <v>1216</v>
      </c>
    </row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C1"/>
    <mergeCell ref="A10:C10"/>
    <mergeCell ref="A15:C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rightToLeft="1" workbookViewId="0"/>
  </sheetViews>
  <sheetFormatPr defaultColWidth="14.44140625" defaultRowHeight="15" customHeight="1" x14ac:dyDescent="0.3"/>
  <cols>
    <col min="1" max="1" width="35" customWidth="1"/>
    <col min="2" max="2" width="30" customWidth="1"/>
    <col min="3" max="3" width="40" customWidth="1"/>
    <col min="4" max="4" width="15" customWidth="1"/>
    <col min="5" max="26" width="8.6640625" customWidth="1"/>
  </cols>
  <sheetData>
    <row r="1" spans="1:4" ht="14.4" x14ac:dyDescent="0.3">
      <c r="A1" s="15" t="s">
        <v>28</v>
      </c>
      <c r="B1" s="16"/>
      <c r="C1" s="16"/>
      <c r="D1" s="17"/>
    </row>
    <row r="2" spans="1:4" ht="15.6" x14ac:dyDescent="0.3">
      <c r="A2" s="3" t="s">
        <v>29</v>
      </c>
      <c r="B2" s="3" t="s">
        <v>30</v>
      </c>
      <c r="C2" s="3" t="s">
        <v>31</v>
      </c>
      <c r="D2" s="3" t="s">
        <v>32</v>
      </c>
    </row>
    <row r="3" spans="1:4" ht="14.4" x14ac:dyDescent="0.3">
      <c r="A3" s="2" t="s">
        <v>33</v>
      </c>
      <c r="B3" s="2" t="s">
        <v>34</v>
      </c>
      <c r="C3" s="2" t="s">
        <v>35</v>
      </c>
      <c r="D3" s="2" t="s">
        <v>36</v>
      </c>
    </row>
    <row r="4" spans="1:4" ht="27.6" x14ac:dyDescent="0.3">
      <c r="A4" s="1" t="s">
        <v>37</v>
      </c>
      <c r="B4" s="1" t="s">
        <v>38</v>
      </c>
      <c r="C4" s="1" t="s">
        <v>39</v>
      </c>
      <c r="D4" s="1" t="s">
        <v>40</v>
      </c>
    </row>
    <row r="5" spans="1:4" ht="27.6" x14ac:dyDescent="0.3">
      <c r="A5" s="2" t="s">
        <v>41</v>
      </c>
      <c r="B5" s="2" t="s">
        <v>42</v>
      </c>
      <c r="C5" s="2" t="s">
        <v>43</v>
      </c>
      <c r="D5" s="2" t="s">
        <v>44</v>
      </c>
    </row>
    <row r="7" spans="1:4" ht="14.4" x14ac:dyDescent="0.3">
      <c r="A7" s="15" t="s">
        <v>45</v>
      </c>
      <c r="B7" s="16"/>
      <c r="C7" s="16"/>
      <c r="D7" s="17"/>
    </row>
    <row r="8" spans="1:4" ht="15.6" x14ac:dyDescent="0.3">
      <c r="A8" s="3" t="s">
        <v>46</v>
      </c>
      <c r="B8" s="3" t="s">
        <v>47</v>
      </c>
      <c r="C8" s="3" t="s">
        <v>48</v>
      </c>
      <c r="D8" s="3"/>
    </row>
    <row r="9" spans="1:4" ht="14.4" x14ac:dyDescent="0.3">
      <c r="A9" s="2" t="s">
        <v>49</v>
      </c>
      <c r="B9" s="2">
        <v>30</v>
      </c>
      <c r="C9" s="2" t="s">
        <v>50</v>
      </c>
      <c r="D9" s="2"/>
    </row>
    <row r="10" spans="1:4" ht="14.4" x14ac:dyDescent="0.3">
      <c r="A10" s="1" t="s">
        <v>51</v>
      </c>
      <c r="B10" s="1">
        <v>30</v>
      </c>
      <c r="C10" s="1" t="s">
        <v>50</v>
      </c>
      <c r="D10" s="1"/>
    </row>
    <row r="11" spans="1:4" ht="14.4" x14ac:dyDescent="0.3">
      <c r="A11" s="2" t="s">
        <v>52</v>
      </c>
      <c r="B11" s="2">
        <v>35</v>
      </c>
      <c r="C11" s="2" t="s">
        <v>50</v>
      </c>
      <c r="D11" s="2"/>
    </row>
    <row r="12" spans="1:4" ht="14.4" x14ac:dyDescent="0.3">
      <c r="A12" s="1" t="s">
        <v>53</v>
      </c>
      <c r="B12" s="1">
        <v>25</v>
      </c>
      <c r="C12" s="1" t="s">
        <v>50</v>
      </c>
      <c r="D12" s="1"/>
    </row>
    <row r="13" spans="1:4" ht="14.4" x14ac:dyDescent="0.3">
      <c r="A13" s="4" t="s">
        <v>54</v>
      </c>
      <c r="B13" s="4">
        <v>120</v>
      </c>
      <c r="C13" s="4"/>
      <c r="D13" s="4"/>
    </row>
    <row r="15" spans="1:4" ht="14.4" x14ac:dyDescent="0.3">
      <c r="A15" s="15" t="s">
        <v>55</v>
      </c>
      <c r="B15" s="16"/>
      <c r="C15" s="16"/>
      <c r="D15" s="17"/>
    </row>
    <row r="16" spans="1:4" ht="15.6" x14ac:dyDescent="0.3">
      <c r="A16" s="3" t="s">
        <v>56</v>
      </c>
      <c r="B16" s="3" t="s">
        <v>57</v>
      </c>
      <c r="C16" s="3" t="s">
        <v>48</v>
      </c>
      <c r="D16" s="3"/>
    </row>
    <row r="17" spans="1:4" ht="14.4" x14ac:dyDescent="0.3">
      <c r="A17" s="2" t="s">
        <v>58</v>
      </c>
      <c r="B17" s="2" t="s">
        <v>59</v>
      </c>
      <c r="C17" s="2"/>
      <c r="D17" s="2"/>
    </row>
    <row r="18" spans="1:4" ht="14.4" x14ac:dyDescent="0.3">
      <c r="A18" s="1" t="s">
        <v>60</v>
      </c>
      <c r="B18" s="1" t="s">
        <v>61</v>
      </c>
      <c r="C18" s="1"/>
      <c r="D18" s="1"/>
    </row>
    <row r="19" spans="1:4" ht="14.4" x14ac:dyDescent="0.3">
      <c r="A19" s="2"/>
      <c r="B19" s="2"/>
      <c r="C19" s="2"/>
      <c r="D19" s="2"/>
    </row>
    <row r="20" spans="1:4" ht="14.4" x14ac:dyDescent="0.3">
      <c r="A20" s="1" t="s">
        <v>62</v>
      </c>
      <c r="B20" s="1" t="s">
        <v>63</v>
      </c>
      <c r="C20" s="1" t="s">
        <v>64</v>
      </c>
      <c r="D20" s="1"/>
    </row>
    <row r="21" spans="1:4" ht="15.75" customHeight="1" x14ac:dyDescent="0.3">
      <c r="A21" s="2" t="s">
        <v>65</v>
      </c>
      <c r="B21" s="2" t="s">
        <v>66</v>
      </c>
      <c r="C21" s="2"/>
      <c r="D21" s="2"/>
    </row>
    <row r="22" spans="1:4" ht="15.75" customHeight="1" x14ac:dyDescent="0.3">
      <c r="A22" s="1" t="s">
        <v>67</v>
      </c>
      <c r="B22" s="1" t="s">
        <v>68</v>
      </c>
      <c r="C22" s="1"/>
      <c r="D22" s="1"/>
    </row>
    <row r="23" spans="1:4" ht="15.75" customHeight="1" x14ac:dyDescent="0.3">
      <c r="A23" s="2" t="s">
        <v>69</v>
      </c>
      <c r="B23" s="2" t="s">
        <v>70</v>
      </c>
      <c r="C23" s="2"/>
      <c r="D23" s="2"/>
    </row>
    <row r="24" spans="1:4" ht="15.75" customHeight="1" x14ac:dyDescent="0.3">
      <c r="A24" s="1" t="s">
        <v>71</v>
      </c>
      <c r="B24" s="1" t="s">
        <v>72</v>
      </c>
      <c r="C24" s="1" t="s">
        <v>73</v>
      </c>
      <c r="D24" s="1"/>
    </row>
    <row r="25" spans="1:4" ht="15.75" customHeight="1" x14ac:dyDescent="0.3">
      <c r="A25" s="2"/>
      <c r="B25" s="2"/>
      <c r="C25" s="2"/>
      <c r="D25" s="2"/>
    </row>
    <row r="26" spans="1:4" ht="15.75" customHeight="1" x14ac:dyDescent="0.3">
      <c r="A26" s="1" t="s">
        <v>20</v>
      </c>
      <c r="B26" s="1" t="s">
        <v>74</v>
      </c>
      <c r="C26" s="1" t="s">
        <v>75</v>
      </c>
      <c r="D26" s="1"/>
    </row>
    <row r="27" spans="1:4" ht="15.75" customHeight="1" x14ac:dyDescent="0.3">
      <c r="A27" s="2" t="s">
        <v>19</v>
      </c>
      <c r="B27" s="2" t="s">
        <v>76</v>
      </c>
      <c r="C27" s="2" t="s">
        <v>77</v>
      </c>
      <c r="D27" s="2"/>
    </row>
    <row r="28" spans="1:4" ht="15.75" customHeight="1" x14ac:dyDescent="0.3">
      <c r="A28" s="1" t="s">
        <v>78</v>
      </c>
      <c r="B28" s="1" t="s">
        <v>79</v>
      </c>
      <c r="C28" s="1" t="s">
        <v>80</v>
      </c>
      <c r="D28" s="1"/>
    </row>
    <row r="29" spans="1:4" ht="15.75" customHeight="1" x14ac:dyDescent="0.3">
      <c r="A29" s="2" t="s">
        <v>81</v>
      </c>
      <c r="B29" s="2" t="s">
        <v>82</v>
      </c>
      <c r="C29" s="2" t="s">
        <v>83</v>
      </c>
      <c r="D29" s="2"/>
    </row>
    <row r="30" spans="1:4" ht="15.75" customHeight="1" x14ac:dyDescent="0.3"/>
    <row r="31" spans="1:4" ht="15.75" customHeight="1" x14ac:dyDescent="0.3">
      <c r="A31" s="15" t="s">
        <v>84</v>
      </c>
      <c r="B31" s="16"/>
      <c r="C31" s="16"/>
      <c r="D31" s="17"/>
    </row>
    <row r="32" spans="1:4" ht="15.75" customHeight="1" x14ac:dyDescent="0.3">
      <c r="A32" s="3" t="s">
        <v>56</v>
      </c>
      <c r="B32" s="3" t="s">
        <v>57</v>
      </c>
      <c r="C32" s="3" t="s">
        <v>48</v>
      </c>
      <c r="D32" s="3"/>
    </row>
    <row r="33" spans="1:4" ht="15.75" customHeight="1" x14ac:dyDescent="0.3">
      <c r="A33" s="2" t="s">
        <v>85</v>
      </c>
      <c r="B33" s="2" t="s">
        <v>59</v>
      </c>
      <c r="C33" s="2"/>
      <c r="D33" s="2"/>
    </row>
    <row r="34" spans="1:4" ht="15.75" customHeight="1" x14ac:dyDescent="0.3">
      <c r="A34" s="1" t="s">
        <v>86</v>
      </c>
      <c r="B34" s="1" t="s">
        <v>87</v>
      </c>
      <c r="C34" s="1" t="s">
        <v>88</v>
      </c>
      <c r="D34" s="1"/>
    </row>
    <row r="35" spans="1:4" ht="15.75" customHeight="1" x14ac:dyDescent="0.3">
      <c r="A35" s="2" t="s">
        <v>89</v>
      </c>
      <c r="B35" s="2" t="s">
        <v>90</v>
      </c>
      <c r="C35" s="2" t="s">
        <v>91</v>
      </c>
      <c r="D35" s="2"/>
    </row>
    <row r="36" spans="1:4" ht="15.75" customHeight="1" x14ac:dyDescent="0.3"/>
    <row r="37" spans="1:4" ht="15.75" customHeight="1" x14ac:dyDescent="0.3">
      <c r="A37" s="15" t="s">
        <v>92</v>
      </c>
      <c r="B37" s="16"/>
      <c r="C37" s="16"/>
      <c r="D37" s="17"/>
    </row>
    <row r="38" spans="1:4" ht="15.75" customHeight="1" x14ac:dyDescent="0.3">
      <c r="A38" s="3" t="s">
        <v>56</v>
      </c>
      <c r="B38" s="3" t="s">
        <v>57</v>
      </c>
      <c r="C38" s="3" t="s">
        <v>48</v>
      </c>
      <c r="D38" s="3"/>
    </row>
    <row r="39" spans="1:4" ht="15.75" customHeight="1" x14ac:dyDescent="0.3">
      <c r="A39" s="2" t="s">
        <v>93</v>
      </c>
      <c r="B39" s="2" t="s">
        <v>94</v>
      </c>
      <c r="C39" s="2"/>
      <c r="D39" s="2"/>
    </row>
    <row r="40" spans="1:4" ht="15.75" customHeight="1" x14ac:dyDescent="0.3">
      <c r="A40" s="1" t="s">
        <v>95</v>
      </c>
      <c r="B40" s="1" t="s">
        <v>96</v>
      </c>
      <c r="C40" s="1"/>
      <c r="D40" s="1"/>
    </row>
    <row r="41" spans="1:4" ht="15.75" customHeight="1" x14ac:dyDescent="0.3">
      <c r="A41" s="2" t="s">
        <v>97</v>
      </c>
      <c r="B41" s="2" t="s">
        <v>98</v>
      </c>
      <c r="C41" s="2"/>
      <c r="D41" s="2"/>
    </row>
    <row r="42" spans="1:4" ht="15.75" customHeight="1" x14ac:dyDescent="0.3">
      <c r="A42" s="1" t="s">
        <v>99</v>
      </c>
      <c r="B42" s="1" t="s">
        <v>100</v>
      </c>
      <c r="C42" s="1" t="s">
        <v>75</v>
      </c>
      <c r="D42" s="1"/>
    </row>
    <row r="43" spans="1:4" ht="15.75" customHeight="1" x14ac:dyDescent="0.3">
      <c r="A43" s="2" t="s">
        <v>101</v>
      </c>
      <c r="B43" s="2" t="s">
        <v>102</v>
      </c>
      <c r="C43" s="2" t="s">
        <v>77</v>
      </c>
      <c r="D43" s="2"/>
    </row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D1"/>
    <mergeCell ref="A7:D7"/>
    <mergeCell ref="A15:D15"/>
    <mergeCell ref="A31:D31"/>
    <mergeCell ref="A37:D3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rightToLeft="1" workbookViewId="0"/>
  </sheetViews>
  <sheetFormatPr defaultColWidth="14.44140625" defaultRowHeight="15" customHeight="1" x14ac:dyDescent="0.3"/>
  <cols>
    <col min="1" max="8" width="22" customWidth="1"/>
    <col min="9" max="26" width="8.6640625" customWidth="1"/>
  </cols>
  <sheetData>
    <row r="1" spans="1:8" ht="31.2" x14ac:dyDescent="0.3">
      <c r="A1" s="3" t="s">
        <v>103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106</v>
      </c>
      <c r="G1" s="3" t="s">
        <v>108</v>
      </c>
      <c r="H1" s="3" t="s">
        <v>106</v>
      </c>
    </row>
    <row r="2" spans="1:8" ht="14.4" x14ac:dyDescent="0.3">
      <c r="A2" s="2" t="s">
        <v>109</v>
      </c>
      <c r="B2" s="2">
        <v>120</v>
      </c>
      <c r="C2" s="2">
        <v>120</v>
      </c>
      <c r="D2" s="2">
        <v>1</v>
      </c>
      <c r="E2" s="2">
        <v>120</v>
      </c>
      <c r="F2" s="2">
        <v>1</v>
      </c>
      <c r="G2" s="2">
        <v>0</v>
      </c>
      <c r="H2" s="2">
        <v>0</v>
      </c>
    </row>
    <row r="3" spans="1:8" ht="14.4" x14ac:dyDescent="0.3">
      <c r="A3" s="1" t="s">
        <v>110</v>
      </c>
      <c r="B3" s="1">
        <v>300</v>
      </c>
      <c r="C3" s="1">
        <v>0</v>
      </c>
      <c r="D3" s="1">
        <v>0</v>
      </c>
      <c r="E3" s="1">
        <v>300</v>
      </c>
      <c r="F3" s="1">
        <v>1</v>
      </c>
      <c r="G3" s="1">
        <v>300</v>
      </c>
      <c r="H3" s="1">
        <v>1</v>
      </c>
    </row>
    <row r="4" spans="1:8" ht="14.4" x14ac:dyDescent="0.3">
      <c r="A4" s="2" t="s">
        <v>111</v>
      </c>
      <c r="B4" s="2">
        <v>35</v>
      </c>
      <c r="C4" s="2">
        <v>105</v>
      </c>
      <c r="D4" s="2">
        <v>3</v>
      </c>
      <c r="E4" s="2">
        <v>140</v>
      </c>
      <c r="F4" s="2">
        <v>4</v>
      </c>
      <c r="G4" s="2">
        <v>175</v>
      </c>
      <c r="H4" s="2">
        <v>5</v>
      </c>
    </row>
    <row r="5" spans="1:8" ht="14.4" x14ac:dyDescent="0.3">
      <c r="A5" s="1" t="s">
        <v>112</v>
      </c>
      <c r="B5" s="1">
        <v>120</v>
      </c>
      <c r="C5" s="1">
        <v>0</v>
      </c>
      <c r="D5" s="1">
        <v>0</v>
      </c>
      <c r="E5" s="1">
        <v>0</v>
      </c>
      <c r="F5" s="1">
        <v>0</v>
      </c>
      <c r="G5" s="1">
        <v>120</v>
      </c>
      <c r="H5" s="1">
        <v>1</v>
      </c>
    </row>
    <row r="6" spans="1:8" ht="14.4" x14ac:dyDescent="0.3">
      <c r="A6" s="4" t="s">
        <v>113</v>
      </c>
      <c r="B6" s="4"/>
      <c r="C6" s="4">
        <v>225</v>
      </c>
      <c r="D6" s="4" t="s">
        <v>114</v>
      </c>
      <c r="E6" s="4">
        <v>560</v>
      </c>
      <c r="F6" s="4" t="s">
        <v>115</v>
      </c>
      <c r="G6" s="4">
        <v>595</v>
      </c>
      <c r="H6" s="4" t="s">
        <v>116</v>
      </c>
    </row>
    <row r="7" spans="1:8" ht="14.4" x14ac:dyDescent="0.3">
      <c r="A7" s="1"/>
      <c r="B7" s="1"/>
      <c r="C7" s="1"/>
      <c r="D7" s="1"/>
      <c r="E7" s="1"/>
      <c r="F7" s="1"/>
      <c r="G7" s="1"/>
      <c r="H7" s="1"/>
    </row>
    <row r="8" spans="1:8" ht="14.4" x14ac:dyDescent="0.3">
      <c r="A8" s="2" t="s">
        <v>49</v>
      </c>
      <c r="B8" s="2">
        <v>30</v>
      </c>
      <c r="C8" s="2">
        <v>30</v>
      </c>
      <c r="D8" s="2">
        <v>1</v>
      </c>
      <c r="E8" s="2">
        <v>30</v>
      </c>
      <c r="F8" s="2">
        <v>1</v>
      </c>
      <c r="G8" s="2">
        <v>30</v>
      </c>
      <c r="H8" s="2">
        <v>1</v>
      </c>
    </row>
    <row r="9" spans="1:8" ht="14.4" x14ac:dyDescent="0.3">
      <c r="A9" s="1" t="s">
        <v>51</v>
      </c>
      <c r="B9" s="1">
        <v>30</v>
      </c>
      <c r="C9" s="1">
        <v>30</v>
      </c>
      <c r="D9" s="1">
        <v>1</v>
      </c>
      <c r="E9" s="1">
        <v>30</v>
      </c>
      <c r="F9" s="1">
        <v>1</v>
      </c>
      <c r="G9" s="1">
        <v>30</v>
      </c>
      <c r="H9" s="1">
        <v>1</v>
      </c>
    </row>
    <row r="10" spans="1:8" ht="14.4" x14ac:dyDescent="0.3">
      <c r="A10" s="2" t="s">
        <v>52</v>
      </c>
      <c r="B10" s="2">
        <v>35</v>
      </c>
      <c r="C10" s="2">
        <v>35</v>
      </c>
      <c r="D10" s="2">
        <v>1</v>
      </c>
      <c r="E10" s="2">
        <v>35</v>
      </c>
      <c r="F10" s="2">
        <v>1</v>
      </c>
      <c r="G10" s="2">
        <v>35</v>
      </c>
      <c r="H10" s="2">
        <v>1</v>
      </c>
    </row>
    <row r="11" spans="1:8" ht="14.4" x14ac:dyDescent="0.3">
      <c r="A11" s="1" t="s">
        <v>117</v>
      </c>
      <c r="B11" s="1">
        <v>25</v>
      </c>
      <c r="C11" s="1">
        <v>25</v>
      </c>
      <c r="D11" s="1">
        <v>1</v>
      </c>
      <c r="E11" s="1">
        <v>25</v>
      </c>
      <c r="F11" s="1">
        <v>1</v>
      </c>
      <c r="G11" s="1">
        <v>25</v>
      </c>
      <c r="H11" s="1">
        <v>1</v>
      </c>
    </row>
    <row r="12" spans="1:8" ht="14.4" x14ac:dyDescent="0.3">
      <c r="A12" s="4" t="s">
        <v>118</v>
      </c>
      <c r="B12" s="4"/>
      <c r="C12" s="4">
        <v>120</v>
      </c>
      <c r="D12" s="4" t="s">
        <v>119</v>
      </c>
      <c r="E12" s="4">
        <v>120</v>
      </c>
      <c r="F12" s="4" t="s">
        <v>119</v>
      </c>
      <c r="G12" s="4">
        <v>120</v>
      </c>
      <c r="H12" s="4" t="s">
        <v>119</v>
      </c>
    </row>
    <row r="13" spans="1:8" ht="14.4" x14ac:dyDescent="0.3">
      <c r="A13" s="1"/>
      <c r="B13" s="1"/>
      <c r="C13" s="1"/>
      <c r="D13" s="1"/>
      <c r="E13" s="1"/>
      <c r="F13" s="1"/>
      <c r="G13" s="1"/>
      <c r="H13" s="1"/>
    </row>
    <row r="14" spans="1:8" ht="14.4" x14ac:dyDescent="0.3">
      <c r="A14" s="2" t="s">
        <v>120</v>
      </c>
      <c r="B14" s="2">
        <v>25</v>
      </c>
      <c r="C14" s="2">
        <v>175</v>
      </c>
      <c r="D14" s="2">
        <v>7</v>
      </c>
      <c r="E14" s="2">
        <v>250</v>
      </c>
      <c r="F14" s="2">
        <v>10</v>
      </c>
      <c r="G14" s="2">
        <v>275</v>
      </c>
      <c r="H14" s="2">
        <v>11</v>
      </c>
    </row>
    <row r="15" spans="1:8" ht="14.4" x14ac:dyDescent="0.3">
      <c r="A15" s="1"/>
      <c r="B15" s="1"/>
      <c r="C15" s="1"/>
      <c r="D15" s="1"/>
      <c r="E15" s="1"/>
      <c r="F15" s="1"/>
      <c r="G15" s="1"/>
      <c r="H15" s="1"/>
    </row>
    <row r="16" spans="1:8" ht="14.4" x14ac:dyDescent="0.3">
      <c r="A16" s="2" t="s">
        <v>121</v>
      </c>
      <c r="B16" s="2">
        <v>25</v>
      </c>
      <c r="C16" s="2">
        <v>250</v>
      </c>
      <c r="D16" s="2">
        <v>10</v>
      </c>
      <c r="E16" s="2">
        <v>250</v>
      </c>
      <c r="F16" s="2">
        <v>10</v>
      </c>
      <c r="G16" s="2">
        <v>250</v>
      </c>
      <c r="H16" s="2">
        <v>10</v>
      </c>
    </row>
    <row r="17" spans="1:8" ht="14.4" x14ac:dyDescent="0.3">
      <c r="A17" s="1"/>
      <c r="B17" s="1"/>
      <c r="C17" s="1"/>
      <c r="D17" s="1"/>
      <c r="E17" s="1"/>
      <c r="F17" s="1"/>
      <c r="G17" s="1"/>
      <c r="H17" s="1"/>
    </row>
    <row r="18" spans="1:8" ht="14.4" x14ac:dyDescent="0.3">
      <c r="A18" s="2" t="s">
        <v>122</v>
      </c>
      <c r="B18" s="2">
        <v>50</v>
      </c>
      <c r="C18" s="2">
        <v>150</v>
      </c>
      <c r="D18" s="2">
        <v>3</v>
      </c>
      <c r="E18" s="2">
        <v>250</v>
      </c>
      <c r="F18" s="2">
        <v>5</v>
      </c>
      <c r="G18" s="2">
        <v>250</v>
      </c>
      <c r="H18" s="2">
        <v>5</v>
      </c>
    </row>
    <row r="19" spans="1:8" ht="14.4" x14ac:dyDescent="0.3">
      <c r="A19" s="1"/>
      <c r="B19" s="1"/>
      <c r="C19" s="1"/>
      <c r="D19" s="1"/>
      <c r="E19" s="1"/>
      <c r="F19" s="1"/>
      <c r="G19" s="1"/>
      <c r="H19" s="1"/>
    </row>
    <row r="20" spans="1:8" ht="14.4" x14ac:dyDescent="0.3">
      <c r="A20" s="4" t="s">
        <v>4</v>
      </c>
      <c r="B20" s="4"/>
      <c r="C20" s="4">
        <v>920</v>
      </c>
      <c r="D20" s="4"/>
      <c r="E20" s="4">
        <v>1450</v>
      </c>
      <c r="F20" s="4"/>
      <c r="G20" s="4">
        <v>1490</v>
      </c>
      <c r="H20" s="4"/>
    </row>
    <row r="21" spans="1:8" ht="15.75" customHeight="1" x14ac:dyDescent="0.3">
      <c r="A21" s="1" t="s">
        <v>123</v>
      </c>
      <c r="B21" s="1"/>
      <c r="C21" s="1">
        <v>296</v>
      </c>
      <c r="D21" s="1"/>
      <c r="E21" s="1">
        <v>230</v>
      </c>
      <c r="F21" s="1"/>
      <c r="G21" s="1">
        <v>390</v>
      </c>
      <c r="H21" s="1"/>
    </row>
    <row r="22" spans="1:8" ht="15.75" customHeight="1" x14ac:dyDescent="0.3">
      <c r="A22" s="2" t="s">
        <v>124</v>
      </c>
      <c r="B22" s="2"/>
      <c r="C22" s="2" t="s">
        <v>125</v>
      </c>
      <c r="D22" s="2"/>
      <c r="E22" s="2" t="s">
        <v>125</v>
      </c>
      <c r="F22" s="2"/>
      <c r="G22" s="2" t="s">
        <v>125</v>
      </c>
      <c r="H22" s="2"/>
    </row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workbookViewId="0"/>
  </sheetViews>
  <sheetFormatPr defaultColWidth="14.44140625" defaultRowHeight="15" customHeight="1" x14ac:dyDescent="0.3"/>
  <cols>
    <col min="1" max="1" width="38" customWidth="1"/>
    <col min="2" max="2" width="28" customWidth="1"/>
    <col min="3" max="3" width="40" customWidth="1"/>
    <col min="4" max="4" width="30" customWidth="1"/>
    <col min="5" max="26" width="8.6640625" customWidth="1"/>
  </cols>
  <sheetData>
    <row r="1" spans="1:4" ht="14.4" x14ac:dyDescent="0.3">
      <c r="A1" s="15" t="s">
        <v>126</v>
      </c>
      <c r="B1" s="16"/>
      <c r="C1" s="16"/>
      <c r="D1" s="17"/>
    </row>
    <row r="2" spans="1:4" ht="15.6" x14ac:dyDescent="0.3">
      <c r="A2" s="3" t="s">
        <v>127</v>
      </c>
      <c r="B2" s="3" t="s">
        <v>128</v>
      </c>
      <c r="C2" s="3" t="s">
        <v>129</v>
      </c>
      <c r="D2" s="3" t="s">
        <v>48</v>
      </c>
    </row>
    <row r="3" spans="1:4" ht="14.4" x14ac:dyDescent="0.3">
      <c r="A3" s="2" t="s">
        <v>130</v>
      </c>
      <c r="B3" s="2" t="s">
        <v>131</v>
      </c>
      <c r="C3" s="2" t="s">
        <v>132</v>
      </c>
      <c r="D3" s="2" t="s">
        <v>133</v>
      </c>
    </row>
    <row r="4" spans="1:4" ht="14.4" x14ac:dyDescent="0.3">
      <c r="A4" s="1" t="s">
        <v>134</v>
      </c>
      <c r="B4" s="1" t="s">
        <v>135</v>
      </c>
      <c r="C4" s="1" t="s">
        <v>136</v>
      </c>
      <c r="D4" s="1" t="s">
        <v>137</v>
      </c>
    </row>
    <row r="5" spans="1:4" ht="14.4" x14ac:dyDescent="0.3">
      <c r="A5" s="2" t="s">
        <v>138</v>
      </c>
      <c r="B5" s="2" t="s">
        <v>139</v>
      </c>
      <c r="C5" s="2" t="s">
        <v>140</v>
      </c>
      <c r="D5" s="2" t="s">
        <v>137</v>
      </c>
    </row>
    <row r="6" spans="1:4" ht="14.4" x14ac:dyDescent="0.3">
      <c r="A6" s="1" t="s">
        <v>141</v>
      </c>
      <c r="B6" s="1" t="s">
        <v>142</v>
      </c>
      <c r="C6" s="1" t="s">
        <v>143</v>
      </c>
      <c r="D6" s="1"/>
    </row>
    <row r="7" spans="1:4" ht="14.4" x14ac:dyDescent="0.3">
      <c r="A7" s="2" t="s">
        <v>144</v>
      </c>
      <c r="B7" s="2" t="s">
        <v>145</v>
      </c>
      <c r="C7" s="2" t="s">
        <v>146</v>
      </c>
      <c r="D7" s="2" t="s">
        <v>147</v>
      </c>
    </row>
    <row r="10" spans="1:4" ht="14.4" x14ac:dyDescent="0.3">
      <c r="A10" s="15" t="s">
        <v>148</v>
      </c>
      <c r="B10" s="16"/>
      <c r="C10" s="16"/>
      <c r="D10" s="17"/>
    </row>
    <row r="11" spans="1:4" ht="15.6" x14ac:dyDescent="0.3">
      <c r="A11" s="3" t="s">
        <v>149</v>
      </c>
      <c r="B11" s="3" t="s">
        <v>150</v>
      </c>
      <c r="C11" s="3" t="s">
        <v>151</v>
      </c>
      <c r="D11" s="3" t="s">
        <v>152</v>
      </c>
    </row>
    <row r="12" spans="1:4" ht="14.4" x14ac:dyDescent="0.3">
      <c r="A12" s="2" t="s">
        <v>153</v>
      </c>
      <c r="B12" s="2" t="s">
        <v>154</v>
      </c>
      <c r="C12" s="2" t="s">
        <v>155</v>
      </c>
      <c r="D12" s="2" t="s">
        <v>156</v>
      </c>
    </row>
    <row r="13" spans="1:4" ht="14.4" x14ac:dyDescent="0.3">
      <c r="A13" s="1" t="s">
        <v>157</v>
      </c>
      <c r="B13" s="1" t="s">
        <v>158</v>
      </c>
      <c r="C13" s="1" t="s">
        <v>155</v>
      </c>
      <c r="D13" s="1" t="s">
        <v>159</v>
      </c>
    </row>
    <row r="14" spans="1:4" ht="14.4" x14ac:dyDescent="0.3">
      <c r="A14" s="2" t="s">
        <v>160</v>
      </c>
      <c r="B14" s="2" t="s">
        <v>161</v>
      </c>
      <c r="C14" s="2" t="s">
        <v>162</v>
      </c>
      <c r="D14" s="2" t="s">
        <v>159</v>
      </c>
    </row>
    <row r="15" spans="1:4" ht="14.4" x14ac:dyDescent="0.3">
      <c r="A15" s="1" t="s">
        <v>163</v>
      </c>
      <c r="B15" s="1" t="s">
        <v>164</v>
      </c>
      <c r="C15" s="1" t="s">
        <v>165</v>
      </c>
      <c r="D15" s="1" t="s">
        <v>159</v>
      </c>
    </row>
    <row r="16" spans="1:4" ht="14.4" x14ac:dyDescent="0.3">
      <c r="A16" s="2" t="s">
        <v>166</v>
      </c>
      <c r="B16" s="2" t="s">
        <v>167</v>
      </c>
      <c r="C16" s="2" t="s">
        <v>168</v>
      </c>
      <c r="D16" s="5" t="s">
        <v>169</v>
      </c>
    </row>
    <row r="19" spans="1:4" ht="14.4" x14ac:dyDescent="0.3">
      <c r="A19" s="15" t="s">
        <v>170</v>
      </c>
      <c r="B19" s="16"/>
      <c r="C19" s="16"/>
      <c r="D19" s="17"/>
    </row>
    <row r="20" spans="1:4" ht="15.6" x14ac:dyDescent="0.3">
      <c r="A20" s="3" t="s">
        <v>171</v>
      </c>
      <c r="B20" s="3" t="s">
        <v>57</v>
      </c>
      <c r="C20" s="3" t="s">
        <v>172</v>
      </c>
      <c r="D20" s="3"/>
    </row>
    <row r="21" spans="1:4" ht="15.75" customHeight="1" x14ac:dyDescent="0.3">
      <c r="A21" s="2" t="s">
        <v>173</v>
      </c>
      <c r="B21" s="2" t="s">
        <v>174</v>
      </c>
      <c r="C21" s="2"/>
      <c r="D21" s="2"/>
    </row>
    <row r="22" spans="1:4" ht="15.75" customHeight="1" x14ac:dyDescent="0.3">
      <c r="A22" s="1" t="s">
        <v>175</v>
      </c>
      <c r="B22" s="1" t="s">
        <v>176</v>
      </c>
      <c r="C22" s="1"/>
      <c r="D22" s="1"/>
    </row>
    <row r="23" spans="1:4" ht="15.75" customHeight="1" x14ac:dyDescent="0.3">
      <c r="A23" s="2" t="s">
        <v>177</v>
      </c>
      <c r="B23" s="2" t="s">
        <v>178</v>
      </c>
      <c r="C23" s="2"/>
      <c r="D23" s="2"/>
    </row>
    <row r="24" spans="1:4" ht="15.75" customHeight="1" x14ac:dyDescent="0.3">
      <c r="A24" s="1" t="s">
        <v>179</v>
      </c>
      <c r="B24" s="1" t="s">
        <v>180</v>
      </c>
      <c r="C24" s="1"/>
      <c r="D24" s="1"/>
    </row>
    <row r="25" spans="1:4" ht="15.75" customHeight="1" x14ac:dyDescent="0.3">
      <c r="A25" s="2" t="s">
        <v>181</v>
      </c>
      <c r="B25" s="2" t="s">
        <v>182</v>
      </c>
      <c r="C25" s="2" t="s">
        <v>183</v>
      </c>
      <c r="D25" s="2"/>
    </row>
    <row r="26" spans="1:4" ht="15.75" customHeight="1" x14ac:dyDescent="0.3">
      <c r="A26" s="1"/>
      <c r="B26" s="1"/>
      <c r="C26" s="1"/>
      <c r="D26" s="1"/>
    </row>
    <row r="27" spans="1:4" ht="15.75" customHeight="1" x14ac:dyDescent="0.3">
      <c r="A27" s="2" t="s">
        <v>184</v>
      </c>
      <c r="B27" s="2" t="s">
        <v>185</v>
      </c>
      <c r="C27" s="2" t="s">
        <v>186</v>
      </c>
      <c r="D27" s="2"/>
    </row>
    <row r="28" spans="1:4" ht="15.75" customHeight="1" x14ac:dyDescent="0.3">
      <c r="A28" s="1" t="s">
        <v>187</v>
      </c>
      <c r="B28" s="1" t="s">
        <v>188</v>
      </c>
      <c r="C28" s="1" t="s">
        <v>189</v>
      </c>
      <c r="D28" s="1"/>
    </row>
    <row r="29" spans="1:4" ht="15.75" customHeight="1" x14ac:dyDescent="0.3">
      <c r="A29" s="2" t="s">
        <v>190</v>
      </c>
      <c r="B29" s="2" t="s">
        <v>191</v>
      </c>
      <c r="C29" s="2" t="s">
        <v>192</v>
      </c>
      <c r="D29" s="2"/>
    </row>
    <row r="30" spans="1:4" ht="15.75" customHeight="1" x14ac:dyDescent="0.3">
      <c r="A30" s="1"/>
      <c r="B30" s="1"/>
      <c r="C30" s="1"/>
      <c r="D30" s="1"/>
    </row>
    <row r="31" spans="1:4" ht="15.75" customHeight="1" x14ac:dyDescent="0.3">
      <c r="A31" s="2" t="s">
        <v>193</v>
      </c>
      <c r="B31" s="2" t="s">
        <v>194</v>
      </c>
      <c r="C31" s="2" t="s">
        <v>195</v>
      </c>
      <c r="D31" s="2"/>
    </row>
    <row r="32" spans="1:4" ht="15.75" customHeight="1" x14ac:dyDescent="0.3">
      <c r="A32" s="1" t="s">
        <v>196</v>
      </c>
      <c r="B32" s="1" t="s">
        <v>197</v>
      </c>
      <c r="C32" s="1" t="s">
        <v>198</v>
      </c>
      <c r="D32" s="1"/>
    </row>
    <row r="33" spans="1:4" ht="15.75" customHeight="1" x14ac:dyDescent="0.3">
      <c r="A33" s="2" t="s">
        <v>190</v>
      </c>
      <c r="B33" s="2" t="s">
        <v>199</v>
      </c>
      <c r="C33" s="2" t="s">
        <v>192</v>
      </c>
      <c r="D33" s="2"/>
    </row>
    <row r="34" spans="1:4" ht="15.75" customHeight="1" x14ac:dyDescent="0.3"/>
    <row r="35" spans="1:4" ht="15.75" customHeight="1" x14ac:dyDescent="0.3"/>
    <row r="36" spans="1:4" ht="15.75" customHeight="1" x14ac:dyDescent="0.3"/>
    <row r="37" spans="1:4" ht="15.75" customHeight="1" x14ac:dyDescent="0.3"/>
    <row r="38" spans="1:4" ht="15.75" customHeight="1" x14ac:dyDescent="0.3"/>
    <row r="39" spans="1:4" ht="15.75" customHeight="1" x14ac:dyDescent="0.3"/>
    <row r="40" spans="1:4" ht="15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D1"/>
    <mergeCell ref="A10:D10"/>
    <mergeCell ref="A19:D19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003"/>
  <sheetViews>
    <sheetView rightToLeft="1" tabSelected="1"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2" width="22.5546875" customWidth="1"/>
    <col min="3" max="3" width="30" customWidth="1"/>
    <col min="4" max="6" width="18" customWidth="1"/>
    <col min="7" max="7" width="15" customWidth="1"/>
    <col min="8" max="8" width="24" customWidth="1"/>
    <col min="9" max="28" width="8.6640625" customWidth="1"/>
  </cols>
  <sheetData>
    <row r="1" spans="1:8" ht="16.8" x14ac:dyDescent="0.3">
      <c r="A1" s="6"/>
      <c r="B1" s="6"/>
      <c r="C1" s="15" t="s">
        <v>200</v>
      </c>
      <c r="D1" s="16"/>
      <c r="E1" s="16"/>
      <c r="F1" s="16"/>
      <c r="G1" s="16"/>
      <c r="H1" s="17"/>
    </row>
    <row r="2" spans="1:8" ht="15.75" customHeight="1" x14ac:dyDescent="0.3">
      <c r="A2" s="3" t="s">
        <v>201</v>
      </c>
      <c r="B2" s="3" t="s">
        <v>202</v>
      </c>
      <c r="C2" s="3" t="s">
        <v>203</v>
      </c>
      <c r="D2" s="3" t="s">
        <v>204</v>
      </c>
      <c r="E2" s="3" t="s">
        <v>205</v>
      </c>
      <c r="F2" s="3" t="s">
        <v>206</v>
      </c>
      <c r="G2" s="3" t="s">
        <v>207</v>
      </c>
      <c r="H2" s="3" t="s">
        <v>208</v>
      </c>
    </row>
    <row r="3" spans="1:8" ht="14.4" x14ac:dyDescent="0.3">
      <c r="A3" s="7">
        <v>20</v>
      </c>
      <c r="B3" s="2">
        <v>1</v>
      </c>
      <c r="C3" s="2" t="s">
        <v>209</v>
      </c>
      <c r="D3" s="2">
        <v>5</v>
      </c>
      <c r="E3" s="2">
        <v>30</v>
      </c>
      <c r="F3" s="2">
        <v>150</v>
      </c>
      <c r="G3" s="8" t="s">
        <v>210</v>
      </c>
      <c r="H3" s="2">
        <v>350</v>
      </c>
    </row>
    <row r="4" spans="1:8" ht="14.4" x14ac:dyDescent="0.3">
      <c r="A4" s="1">
        <v>31</v>
      </c>
      <c r="B4" s="1">
        <v>2</v>
      </c>
      <c r="C4" s="1" t="s">
        <v>211</v>
      </c>
      <c r="D4" s="1">
        <v>48</v>
      </c>
      <c r="E4" s="1">
        <v>8</v>
      </c>
      <c r="F4" s="1">
        <v>384</v>
      </c>
      <c r="G4" s="8" t="s">
        <v>210</v>
      </c>
      <c r="H4" s="1">
        <v>200</v>
      </c>
    </row>
    <row r="5" spans="1:8" ht="14.4" x14ac:dyDescent="0.3">
      <c r="A5" s="2">
        <v>29</v>
      </c>
      <c r="B5" s="2">
        <v>3</v>
      </c>
      <c r="C5" s="2" t="s">
        <v>212</v>
      </c>
      <c r="D5" s="2">
        <v>150</v>
      </c>
      <c r="E5" s="2">
        <v>0.47</v>
      </c>
      <c r="F5" s="2">
        <f>E5*D5</f>
        <v>70.5</v>
      </c>
      <c r="G5" s="9" t="s">
        <v>213</v>
      </c>
      <c r="H5" s="2">
        <v>280</v>
      </c>
    </row>
    <row r="6" spans="1:8" ht="14.4" x14ac:dyDescent="0.3">
      <c r="A6" s="2">
        <v>25</v>
      </c>
      <c r="B6" s="2">
        <v>4</v>
      </c>
      <c r="C6" s="1" t="s">
        <v>214</v>
      </c>
      <c r="D6" s="1">
        <v>4</v>
      </c>
      <c r="E6" s="1">
        <v>20</v>
      </c>
      <c r="F6" s="1">
        <v>80</v>
      </c>
      <c r="G6" s="8" t="s">
        <v>210</v>
      </c>
      <c r="H6" s="1">
        <v>250</v>
      </c>
    </row>
    <row r="7" spans="1:8" ht="14.4" x14ac:dyDescent="0.3">
      <c r="A7" s="2">
        <v>10</v>
      </c>
      <c r="B7" s="2">
        <v>5</v>
      </c>
      <c r="C7" s="2" t="s">
        <v>215</v>
      </c>
      <c r="D7" s="2">
        <v>3</v>
      </c>
      <c r="E7" s="2">
        <v>15</v>
      </c>
      <c r="F7" s="2">
        <v>45</v>
      </c>
      <c r="G7" s="8" t="s">
        <v>210</v>
      </c>
      <c r="H7" s="2">
        <v>200</v>
      </c>
    </row>
    <row r="8" spans="1:8" ht="14.4" x14ac:dyDescent="0.3">
      <c r="A8" s="1">
        <v>47</v>
      </c>
      <c r="B8" s="1">
        <v>6</v>
      </c>
      <c r="C8" s="1" t="s">
        <v>216</v>
      </c>
      <c r="D8" s="1">
        <v>12</v>
      </c>
      <c r="E8" s="1">
        <v>12</v>
      </c>
      <c r="F8" s="1">
        <v>144</v>
      </c>
      <c r="G8" s="5" t="s">
        <v>217</v>
      </c>
      <c r="H8" s="1">
        <v>160</v>
      </c>
    </row>
    <row r="9" spans="1:8" ht="14.4" x14ac:dyDescent="0.3">
      <c r="A9" s="2">
        <v>14</v>
      </c>
      <c r="B9" s="2">
        <v>7</v>
      </c>
      <c r="C9" s="2" t="s">
        <v>218</v>
      </c>
      <c r="D9" s="2">
        <v>3</v>
      </c>
      <c r="E9" s="2">
        <v>12</v>
      </c>
      <c r="F9" s="2">
        <v>36</v>
      </c>
      <c r="G9" s="5" t="s">
        <v>217</v>
      </c>
      <c r="H9" s="2">
        <v>160</v>
      </c>
    </row>
    <row r="10" spans="1:8" ht="14.4" x14ac:dyDescent="0.3">
      <c r="A10" s="2">
        <v>2</v>
      </c>
      <c r="B10" s="2">
        <v>8</v>
      </c>
      <c r="C10" s="1" t="s">
        <v>219</v>
      </c>
      <c r="D10" s="1">
        <v>12</v>
      </c>
      <c r="E10" s="1">
        <v>10</v>
      </c>
      <c r="F10" s="1">
        <v>120</v>
      </c>
      <c r="G10" s="5" t="s">
        <v>217</v>
      </c>
      <c r="H10" s="1">
        <v>140</v>
      </c>
    </row>
    <row r="11" spans="1:8" ht="14.4" x14ac:dyDescent="0.3">
      <c r="A11" s="2">
        <v>15</v>
      </c>
      <c r="B11" s="2">
        <v>9</v>
      </c>
      <c r="C11" s="2" t="s">
        <v>220</v>
      </c>
      <c r="D11" s="2">
        <v>10</v>
      </c>
      <c r="E11" s="2">
        <v>10</v>
      </c>
      <c r="F11" s="2">
        <v>100</v>
      </c>
      <c r="G11" s="5" t="s">
        <v>217</v>
      </c>
      <c r="H11" s="2">
        <v>140</v>
      </c>
    </row>
    <row r="12" spans="1:8" ht="14.4" x14ac:dyDescent="0.3">
      <c r="A12" s="1">
        <v>16</v>
      </c>
      <c r="B12" s="1">
        <v>10</v>
      </c>
      <c r="C12" s="1" t="s">
        <v>221</v>
      </c>
      <c r="D12" s="1">
        <v>6</v>
      </c>
      <c r="E12" s="1">
        <v>7</v>
      </c>
      <c r="F12" s="1">
        <v>42</v>
      </c>
      <c r="G12" s="5" t="s">
        <v>217</v>
      </c>
      <c r="H12" s="1">
        <v>100</v>
      </c>
    </row>
    <row r="13" spans="1:8" ht="14.4" x14ac:dyDescent="0.3">
      <c r="A13" s="2">
        <v>9</v>
      </c>
      <c r="B13" s="2">
        <v>11</v>
      </c>
      <c r="C13" s="2" t="s">
        <v>222</v>
      </c>
      <c r="D13" s="2">
        <v>8</v>
      </c>
      <c r="E13" s="2">
        <v>6</v>
      </c>
      <c r="F13" s="2">
        <v>48</v>
      </c>
      <c r="G13" s="5" t="s">
        <v>217</v>
      </c>
      <c r="H13" s="2">
        <v>100</v>
      </c>
    </row>
    <row r="14" spans="1:8" ht="14.4" x14ac:dyDescent="0.3">
      <c r="A14" s="2">
        <v>5</v>
      </c>
      <c r="B14" s="2">
        <v>12</v>
      </c>
      <c r="C14" s="1" t="s">
        <v>223</v>
      </c>
      <c r="D14" s="1">
        <v>20</v>
      </c>
      <c r="E14" s="1">
        <v>6</v>
      </c>
      <c r="F14" s="1">
        <v>120</v>
      </c>
      <c r="G14" s="5" t="s">
        <v>217</v>
      </c>
      <c r="H14" s="1">
        <v>100</v>
      </c>
    </row>
    <row r="15" spans="1:8" ht="14.4" x14ac:dyDescent="0.3">
      <c r="A15" s="2">
        <v>48</v>
      </c>
      <c r="B15" s="2">
        <v>13</v>
      </c>
      <c r="C15" s="2" t="s">
        <v>224</v>
      </c>
      <c r="D15" s="2">
        <v>3</v>
      </c>
      <c r="E15" s="2">
        <v>6</v>
      </c>
      <c r="F15" s="2">
        <v>18</v>
      </c>
      <c r="G15" s="5" t="s">
        <v>217</v>
      </c>
      <c r="H15" s="2">
        <v>100</v>
      </c>
    </row>
    <row r="16" spans="1:8" ht="14.4" x14ac:dyDescent="0.3">
      <c r="A16" s="1">
        <v>49</v>
      </c>
      <c r="B16" s="1">
        <v>14</v>
      </c>
      <c r="C16" s="1" t="s">
        <v>225</v>
      </c>
      <c r="D16" s="1">
        <v>6</v>
      </c>
      <c r="E16" s="1">
        <v>6</v>
      </c>
      <c r="F16" s="1">
        <v>36</v>
      </c>
      <c r="G16" s="5" t="s">
        <v>217</v>
      </c>
      <c r="H16" s="1">
        <v>100</v>
      </c>
    </row>
    <row r="17" spans="1:8" ht="14.4" x14ac:dyDescent="0.3">
      <c r="A17" s="2">
        <v>7</v>
      </c>
      <c r="B17" s="2">
        <v>15</v>
      </c>
      <c r="C17" s="2" t="s">
        <v>226</v>
      </c>
      <c r="D17" s="2">
        <v>10</v>
      </c>
      <c r="E17" s="2">
        <v>5</v>
      </c>
      <c r="F17" s="2">
        <v>50</v>
      </c>
      <c r="G17" s="5" t="s">
        <v>217</v>
      </c>
      <c r="H17" s="2">
        <v>80</v>
      </c>
    </row>
    <row r="18" spans="1:8" ht="14.4" x14ac:dyDescent="0.3">
      <c r="A18" s="2">
        <v>50</v>
      </c>
      <c r="B18" s="2">
        <v>16</v>
      </c>
      <c r="C18" s="1" t="s">
        <v>227</v>
      </c>
      <c r="D18" s="1">
        <v>20</v>
      </c>
      <c r="E18" s="1">
        <v>5</v>
      </c>
      <c r="F18" s="1">
        <v>100</v>
      </c>
      <c r="G18" s="5" t="s">
        <v>217</v>
      </c>
      <c r="H18" s="1">
        <v>80</v>
      </c>
    </row>
    <row r="19" spans="1:8" ht="14.4" x14ac:dyDescent="0.3">
      <c r="A19" s="2">
        <v>26</v>
      </c>
      <c r="B19" s="2">
        <v>17</v>
      </c>
      <c r="C19" s="2" t="s">
        <v>228</v>
      </c>
      <c r="D19" s="2">
        <v>30</v>
      </c>
      <c r="E19" s="2">
        <v>5</v>
      </c>
      <c r="F19" s="2">
        <v>150</v>
      </c>
      <c r="G19" s="5" t="s">
        <v>217</v>
      </c>
      <c r="H19" s="2">
        <v>80</v>
      </c>
    </row>
    <row r="20" spans="1:8" ht="14.4" x14ac:dyDescent="0.3">
      <c r="A20" s="1">
        <v>1</v>
      </c>
      <c r="B20" s="1">
        <v>18</v>
      </c>
      <c r="C20" s="1" t="s">
        <v>229</v>
      </c>
      <c r="D20" s="1">
        <v>96</v>
      </c>
      <c r="E20" s="1">
        <v>5</v>
      </c>
      <c r="F20" s="1">
        <v>480</v>
      </c>
      <c r="G20" s="5" t="s">
        <v>217</v>
      </c>
      <c r="H20" s="1">
        <v>80</v>
      </c>
    </row>
    <row r="21" spans="1:8" ht="14.4" x14ac:dyDescent="0.3">
      <c r="A21" s="2">
        <v>44</v>
      </c>
      <c r="B21" s="2">
        <v>19</v>
      </c>
      <c r="C21" s="2" t="s">
        <v>230</v>
      </c>
      <c r="D21" s="2">
        <v>24</v>
      </c>
      <c r="E21" s="2">
        <v>5</v>
      </c>
      <c r="F21" s="2">
        <v>120</v>
      </c>
      <c r="G21" s="5" t="s">
        <v>217</v>
      </c>
      <c r="H21" s="2">
        <v>80</v>
      </c>
    </row>
    <row r="22" spans="1:8" ht="15.75" customHeight="1" x14ac:dyDescent="0.3">
      <c r="A22" s="2">
        <v>30</v>
      </c>
      <c r="B22" s="2">
        <v>20</v>
      </c>
      <c r="C22" s="1" t="s">
        <v>231</v>
      </c>
      <c r="D22" s="1">
        <v>20</v>
      </c>
      <c r="E22" s="1">
        <v>4.9000000000000004</v>
      </c>
      <c r="F22" s="1">
        <v>98</v>
      </c>
      <c r="G22" s="5" t="s">
        <v>217</v>
      </c>
      <c r="H22" s="1">
        <v>80</v>
      </c>
    </row>
    <row r="23" spans="1:8" ht="15.75" customHeight="1" x14ac:dyDescent="0.3">
      <c r="A23" s="2">
        <v>24</v>
      </c>
      <c r="B23" s="2">
        <v>21</v>
      </c>
      <c r="C23" s="2" t="s">
        <v>232</v>
      </c>
      <c r="D23" s="2">
        <v>20</v>
      </c>
      <c r="E23" s="2">
        <v>4.5</v>
      </c>
      <c r="F23" s="2">
        <v>90</v>
      </c>
      <c r="G23" s="5" t="s">
        <v>217</v>
      </c>
      <c r="H23" s="2">
        <v>80</v>
      </c>
    </row>
    <row r="24" spans="1:8" ht="15.75" customHeight="1" x14ac:dyDescent="0.3">
      <c r="A24" s="1">
        <v>8</v>
      </c>
      <c r="B24" s="1">
        <v>22</v>
      </c>
      <c r="C24" s="1" t="s">
        <v>233</v>
      </c>
      <c r="D24" s="1">
        <v>7</v>
      </c>
      <c r="E24" s="1">
        <v>4</v>
      </c>
      <c r="F24" s="1">
        <v>28</v>
      </c>
      <c r="G24" s="9" t="s">
        <v>213</v>
      </c>
      <c r="H24" s="1">
        <v>60</v>
      </c>
    </row>
    <row r="25" spans="1:8" ht="15.75" customHeight="1" x14ac:dyDescent="0.3">
      <c r="A25" s="2">
        <v>19</v>
      </c>
      <c r="B25" s="2">
        <v>23</v>
      </c>
      <c r="C25" s="2" t="s">
        <v>234</v>
      </c>
      <c r="D25" s="2">
        <v>7</v>
      </c>
      <c r="E25" s="2">
        <v>4</v>
      </c>
      <c r="F25" s="2">
        <v>28</v>
      </c>
      <c r="G25" s="9" t="s">
        <v>213</v>
      </c>
      <c r="H25" s="2">
        <v>60</v>
      </c>
    </row>
    <row r="26" spans="1:8" ht="15.75" customHeight="1" x14ac:dyDescent="0.3">
      <c r="A26" s="2">
        <v>18</v>
      </c>
      <c r="B26" s="2">
        <v>24</v>
      </c>
      <c r="C26" s="1" t="s">
        <v>235</v>
      </c>
      <c r="D26" s="1">
        <v>7</v>
      </c>
      <c r="E26" s="1">
        <v>4</v>
      </c>
      <c r="F26" s="1">
        <v>28</v>
      </c>
      <c r="G26" s="9" t="s">
        <v>213</v>
      </c>
      <c r="H26" s="1">
        <v>60</v>
      </c>
    </row>
    <row r="27" spans="1:8" ht="15.75" customHeight="1" x14ac:dyDescent="0.3">
      <c r="A27" s="2">
        <v>12</v>
      </c>
      <c r="B27" s="2">
        <v>25</v>
      </c>
      <c r="C27" s="2" t="s">
        <v>236</v>
      </c>
      <c r="D27" s="2">
        <v>5</v>
      </c>
      <c r="E27" s="2">
        <v>3</v>
      </c>
      <c r="F27" s="2">
        <v>15</v>
      </c>
      <c r="G27" s="9" t="s">
        <v>213</v>
      </c>
      <c r="H27" s="2">
        <v>50</v>
      </c>
    </row>
    <row r="28" spans="1:8" ht="15.75" customHeight="1" x14ac:dyDescent="0.3">
      <c r="A28" s="1">
        <v>17</v>
      </c>
      <c r="B28" s="1">
        <v>26</v>
      </c>
      <c r="C28" s="1" t="s">
        <v>237</v>
      </c>
      <c r="D28" s="1">
        <v>18</v>
      </c>
      <c r="E28" s="1">
        <v>3</v>
      </c>
      <c r="F28" s="1">
        <v>54</v>
      </c>
      <c r="G28" s="9" t="s">
        <v>213</v>
      </c>
      <c r="H28" s="1">
        <v>50</v>
      </c>
    </row>
    <row r="29" spans="1:8" ht="15.75" customHeight="1" x14ac:dyDescent="0.3">
      <c r="A29" s="2">
        <v>33</v>
      </c>
      <c r="B29" s="2">
        <v>27</v>
      </c>
      <c r="C29" s="2" t="s">
        <v>238</v>
      </c>
      <c r="D29" s="2">
        <v>60</v>
      </c>
      <c r="E29" s="2">
        <v>3</v>
      </c>
      <c r="F29" s="2">
        <v>180</v>
      </c>
      <c r="G29" s="9" t="s">
        <v>213</v>
      </c>
      <c r="H29" s="2">
        <v>50</v>
      </c>
    </row>
    <row r="30" spans="1:8" ht="15.75" customHeight="1" x14ac:dyDescent="0.3">
      <c r="A30" s="2">
        <v>32</v>
      </c>
      <c r="B30" s="2">
        <v>28</v>
      </c>
      <c r="C30" s="1" t="s">
        <v>239</v>
      </c>
      <c r="D30" s="1">
        <v>48</v>
      </c>
      <c r="E30" s="1">
        <v>2.5</v>
      </c>
      <c r="F30" s="1">
        <v>120</v>
      </c>
      <c r="G30" s="9" t="s">
        <v>213</v>
      </c>
      <c r="H30" s="1">
        <v>40</v>
      </c>
    </row>
    <row r="31" spans="1:8" ht="15.75" customHeight="1" x14ac:dyDescent="0.3">
      <c r="A31" s="2">
        <v>28</v>
      </c>
      <c r="B31" s="2">
        <v>29</v>
      </c>
      <c r="C31" s="2" t="s">
        <v>240</v>
      </c>
      <c r="D31" s="2">
        <v>48</v>
      </c>
      <c r="E31" s="2">
        <v>2.4300000000000002</v>
      </c>
      <c r="F31" s="2">
        <v>116.6</v>
      </c>
      <c r="G31" s="9" t="s">
        <v>213</v>
      </c>
      <c r="H31" s="2">
        <v>40</v>
      </c>
    </row>
    <row r="32" spans="1:8" ht="15.75" customHeight="1" x14ac:dyDescent="0.3">
      <c r="A32" s="1">
        <v>35</v>
      </c>
      <c r="B32" s="1">
        <v>30</v>
      </c>
      <c r="C32" s="1" t="s">
        <v>241</v>
      </c>
      <c r="D32" s="1">
        <v>36</v>
      </c>
      <c r="E32" s="1">
        <v>2</v>
      </c>
      <c r="F32" s="1">
        <v>72</v>
      </c>
      <c r="G32" s="9" t="s">
        <v>213</v>
      </c>
      <c r="H32" s="1">
        <v>35</v>
      </c>
    </row>
    <row r="33" spans="1:8" ht="15.75" customHeight="1" x14ac:dyDescent="0.3">
      <c r="A33" s="2">
        <v>36</v>
      </c>
      <c r="B33" s="2">
        <v>31</v>
      </c>
      <c r="C33" s="2" t="s">
        <v>242</v>
      </c>
      <c r="D33" s="2">
        <v>40</v>
      </c>
      <c r="E33" s="2">
        <v>1.8</v>
      </c>
      <c r="F33" s="2">
        <v>72</v>
      </c>
      <c r="G33" s="9" t="s">
        <v>213</v>
      </c>
      <c r="H33" s="2">
        <v>30</v>
      </c>
    </row>
    <row r="34" spans="1:8" ht="15.75" customHeight="1" x14ac:dyDescent="0.3">
      <c r="A34" s="2">
        <v>38</v>
      </c>
      <c r="B34" s="2">
        <v>32</v>
      </c>
      <c r="C34" s="1" t="s">
        <v>243</v>
      </c>
      <c r="D34" s="1">
        <v>70</v>
      </c>
      <c r="E34" s="1">
        <v>1.5</v>
      </c>
      <c r="F34" s="1">
        <v>105</v>
      </c>
      <c r="G34" s="9" t="s">
        <v>213</v>
      </c>
      <c r="H34" s="1">
        <v>25</v>
      </c>
    </row>
    <row r="35" spans="1:8" ht="15.75" customHeight="1" x14ac:dyDescent="0.3">
      <c r="A35" s="2">
        <v>34</v>
      </c>
      <c r="B35" s="2">
        <v>33</v>
      </c>
      <c r="C35" s="2" t="s">
        <v>244</v>
      </c>
      <c r="D35" s="2">
        <v>50</v>
      </c>
      <c r="E35" s="2">
        <v>1.5</v>
      </c>
      <c r="F35" s="2">
        <v>75</v>
      </c>
      <c r="G35" s="9" t="s">
        <v>213</v>
      </c>
      <c r="H35" s="2">
        <v>25</v>
      </c>
    </row>
    <row r="36" spans="1:8" ht="15.75" customHeight="1" x14ac:dyDescent="0.3">
      <c r="A36" s="1">
        <v>39</v>
      </c>
      <c r="B36" s="1">
        <v>34</v>
      </c>
      <c r="C36" s="1" t="s">
        <v>245</v>
      </c>
      <c r="D36" s="1">
        <v>50</v>
      </c>
      <c r="E36" s="1">
        <v>1.5</v>
      </c>
      <c r="F36" s="1">
        <v>75</v>
      </c>
      <c r="G36" s="9" t="s">
        <v>213</v>
      </c>
      <c r="H36" s="1">
        <v>25</v>
      </c>
    </row>
    <row r="37" spans="1:8" ht="15.75" customHeight="1" x14ac:dyDescent="0.3">
      <c r="A37" s="2">
        <v>43</v>
      </c>
      <c r="B37" s="2">
        <v>35</v>
      </c>
      <c r="C37" s="2" t="s">
        <v>246</v>
      </c>
      <c r="D37" s="2">
        <v>35</v>
      </c>
      <c r="E37" s="2">
        <v>1.2</v>
      </c>
      <c r="F37" s="2">
        <v>42</v>
      </c>
      <c r="G37" s="9" t="s">
        <v>213</v>
      </c>
      <c r="H37" s="2">
        <v>20</v>
      </c>
    </row>
    <row r="38" spans="1:8" ht="15.75" customHeight="1" x14ac:dyDescent="0.3">
      <c r="A38" s="2">
        <v>37</v>
      </c>
      <c r="B38" s="2">
        <v>36</v>
      </c>
      <c r="C38" s="1" t="s">
        <v>247</v>
      </c>
      <c r="D38" s="1">
        <v>200</v>
      </c>
      <c r="E38" s="1">
        <v>1</v>
      </c>
      <c r="F38" s="1">
        <v>200</v>
      </c>
      <c r="G38" s="9" t="s">
        <v>213</v>
      </c>
      <c r="H38" s="1">
        <v>20</v>
      </c>
    </row>
    <row r="39" spans="1:8" ht="15.75" customHeight="1" x14ac:dyDescent="0.3">
      <c r="A39" s="2">
        <v>13</v>
      </c>
      <c r="B39" s="2">
        <v>37</v>
      </c>
      <c r="C39" s="2" t="s">
        <v>248</v>
      </c>
      <c r="D39" s="2">
        <v>20</v>
      </c>
      <c r="E39" s="2">
        <v>1</v>
      </c>
      <c r="F39" s="2">
        <v>20</v>
      </c>
      <c r="G39" s="9" t="s">
        <v>213</v>
      </c>
      <c r="H39" s="2">
        <v>20</v>
      </c>
    </row>
    <row r="40" spans="1:8" ht="15.75" customHeight="1" x14ac:dyDescent="0.3">
      <c r="A40" s="1">
        <v>41</v>
      </c>
      <c r="B40" s="1">
        <v>38</v>
      </c>
      <c r="C40" s="1" t="s">
        <v>249</v>
      </c>
      <c r="D40" s="1">
        <v>25</v>
      </c>
      <c r="E40" s="1">
        <v>1</v>
      </c>
      <c r="F40" s="1">
        <v>25</v>
      </c>
      <c r="G40" s="9" t="s">
        <v>213</v>
      </c>
      <c r="H40" s="1">
        <v>20</v>
      </c>
    </row>
    <row r="41" spans="1:8" ht="15.75" customHeight="1" x14ac:dyDescent="0.3">
      <c r="A41" s="2">
        <v>22</v>
      </c>
      <c r="B41" s="2">
        <v>39</v>
      </c>
      <c r="C41" s="2" t="s">
        <v>250</v>
      </c>
      <c r="D41" s="2">
        <v>24</v>
      </c>
      <c r="E41" s="2">
        <v>0.9</v>
      </c>
      <c r="F41" s="2">
        <v>21.6</v>
      </c>
      <c r="G41" s="9" t="s">
        <v>213</v>
      </c>
      <c r="H41" s="2">
        <v>20</v>
      </c>
    </row>
    <row r="42" spans="1:8" ht="15.75" customHeight="1" x14ac:dyDescent="0.3">
      <c r="A42" s="2">
        <v>21</v>
      </c>
      <c r="B42" s="2">
        <v>40</v>
      </c>
      <c r="C42" s="1" t="s">
        <v>251</v>
      </c>
      <c r="D42" s="1">
        <v>80</v>
      </c>
      <c r="E42" s="1">
        <v>0.9</v>
      </c>
      <c r="F42" s="1">
        <v>72</v>
      </c>
      <c r="G42" s="9" t="s">
        <v>213</v>
      </c>
      <c r="H42" s="1">
        <v>20</v>
      </c>
    </row>
    <row r="43" spans="1:8" ht="15.75" customHeight="1" x14ac:dyDescent="0.3">
      <c r="A43" s="2">
        <v>51</v>
      </c>
      <c r="B43" s="2">
        <v>41</v>
      </c>
      <c r="C43" s="2" t="s">
        <v>252</v>
      </c>
      <c r="D43" s="2">
        <v>32</v>
      </c>
      <c r="E43" s="2">
        <v>0.88</v>
      </c>
      <c r="F43" s="2">
        <v>28.2</v>
      </c>
      <c r="G43" s="9" t="s">
        <v>213</v>
      </c>
      <c r="H43" s="2">
        <v>20</v>
      </c>
    </row>
    <row r="44" spans="1:8" ht="15.75" customHeight="1" x14ac:dyDescent="0.3">
      <c r="A44" s="1">
        <v>42</v>
      </c>
      <c r="B44" s="1">
        <v>42</v>
      </c>
      <c r="C44" s="1" t="s">
        <v>253</v>
      </c>
      <c r="D44" s="1">
        <v>80</v>
      </c>
      <c r="E44" s="1">
        <v>0.8</v>
      </c>
      <c r="F44" s="1">
        <v>64</v>
      </c>
      <c r="G44" s="9" t="s">
        <v>213</v>
      </c>
      <c r="H44" s="1">
        <v>20</v>
      </c>
    </row>
    <row r="45" spans="1:8" ht="15.75" customHeight="1" x14ac:dyDescent="0.3">
      <c r="A45" s="2">
        <v>40</v>
      </c>
      <c r="B45" s="2">
        <v>43</v>
      </c>
      <c r="C45" s="10" t="s">
        <v>254</v>
      </c>
      <c r="D45" s="10">
        <v>30</v>
      </c>
      <c r="E45" s="10">
        <v>1</v>
      </c>
      <c r="F45" s="10">
        <f t="shared" ref="F45:F46" si="0">E45*D45</f>
        <v>30</v>
      </c>
      <c r="G45" s="9" t="s">
        <v>213</v>
      </c>
      <c r="H45" s="10"/>
    </row>
    <row r="46" spans="1:8" ht="15.75" customHeight="1" x14ac:dyDescent="0.3">
      <c r="A46" s="2"/>
      <c r="B46" s="2">
        <v>44</v>
      </c>
      <c r="C46" s="10" t="s">
        <v>255</v>
      </c>
      <c r="D46" s="10">
        <v>50</v>
      </c>
      <c r="E46" s="10">
        <v>1</v>
      </c>
      <c r="F46" s="10">
        <f t="shared" si="0"/>
        <v>50</v>
      </c>
      <c r="G46" s="9" t="s">
        <v>213</v>
      </c>
      <c r="H46" s="10"/>
    </row>
    <row r="47" spans="1:8" ht="15.75" customHeight="1" x14ac:dyDescent="0.3">
      <c r="A47" s="2"/>
      <c r="B47" s="2"/>
      <c r="C47" s="10" t="s">
        <v>27</v>
      </c>
      <c r="D47" s="10">
        <v>1303</v>
      </c>
      <c r="E47" s="10"/>
      <c r="F47" s="10">
        <v>3876</v>
      </c>
      <c r="G47" s="10"/>
      <c r="H47" s="10"/>
    </row>
    <row r="49" spans="1:3" ht="15.75" customHeight="1" x14ac:dyDescent="0.3"/>
    <row r="50" spans="1:3" ht="15.75" customHeight="1" x14ac:dyDescent="0.3">
      <c r="A50" s="11"/>
      <c r="B50" s="11"/>
      <c r="C50" s="11" t="s">
        <v>256</v>
      </c>
    </row>
    <row r="51" spans="1:3" ht="15.75" customHeight="1" x14ac:dyDescent="0.3"/>
    <row r="52" spans="1:3" ht="15.75" customHeight="1" x14ac:dyDescent="0.3"/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autoFilter ref="A1:H47" xr:uid="{00000000-0009-0000-0000-000004000000}"/>
  <mergeCells count="1">
    <mergeCell ref="C1:H1"/>
  </mergeCells>
  <pageMargins left="0.25" right="0.25" top="0.75" bottom="0.75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rightToLeft="1" workbookViewId="0">
      <pane ySplit="1" topLeftCell="A22" activePane="bottomLeft" state="frozen"/>
      <selection pane="bottomLeft" activeCell="I3" sqref="I3:I44"/>
    </sheetView>
  </sheetViews>
  <sheetFormatPr defaultColWidth="14.44140625" defaultRowHeight="15" customHeight="1" x14ac:dyDescent="0.3"/>
  <cols>
    <col min="1" max="1" width="22" customWidth="1"/>
    <col min="2" max="2" width="30" customWidth="1"/>
    <col min="3" max="3" width="14" customWidth="1"/>
    <col min="4" max="4" width="22" customWidth="1"/>
    <col min="5" max="5" width="14" customWidth="1"/>
    <col min="6" max="6" width="12" customWidth="1"/>
    <col min="7" max="7" width="25.88671875" customWidth="1"/>
    <col min="8" max="8" width="8" customWidth="1"/>
    <col min="9" max="10" width="15" customWidth="1"/>
    <col min="11" max="11" width="12" customWidth="1"/>
    <col min="12" max="12" width="14" customWidth="1"/>
    <col min="13" max="13" width="12" customWidth="1"/>
    <col min="14" max="14" width="14" customWidth="1"/>
    <col min="15" max="19" width="12" customWidth="1"/>
    <col min="20" max="26" width="8.6640625" customWidth="1"/>
  </cols>
  <sheetData>
    <row r="1" spans="1:19" ht="14.4" x14ac:dyDescent="0.3">
      <c r="A1" s="12" t="s">
        <v>257</v>
      </c>
      <c r="B1" s="12" t="s">
        <v>258</v>
      </c>
      <c r="C1" s="12" t="s">
        <v>259</v>
      </c>
      <c r="D1" s="12" t="s">
        <v>260</v>
      </c>
      <c r="E1" s="12" t="s">
        <v>261</v>
      </c>
      <c r="F1" s="12" t="s">
        <v>262</v>
      </c>
      <c r="G1" s="12" t="s">
        <v>263</v>
      </c>
      <c r="H1" s="12" t="s">
        <v>264</v>
      </c>
      <c r="I1" s="12" t="s">
        <v>265</v>
      </c>
      <c r="J1" s="12" t="s">
        <v>266</v>
      </c>
      <c r="K1" s="12" t="s">
        <v>267</v>
      </c>
      <c r="L1" s="12" t="s">
        <v>268</v>
      </c>
      <c r="M1" s="12" t="s">
        <v>269</v>
      </c>
      <c r="N1" s="12" t="s">
        <v>270</v>
      </c>
      <c r="O1" s="12" t="s">
        <v>271</v>
      </c>
      <c r="P1" s="12" t="s">
        <v>272</v>
      </c>
      <c r="Q1" s="12" t="s">
        <v>273</v>
      </c>
      <c r="R1" s="12" t="s">
        <v>274</v>
      </c>
      <c r="S1" s="12" t="s">
        <v>275</v>
      </c>
    </row>
    <row r="2" spans="1:19" ht="41.4" x14ac:dyDescent="0.3">
      <c r="A2" s="13" t="s">
        <v>276</v>
      </c>
      <c r="B2" s="13" t="s">
        <v>277</v>
      </c>
      <c r="C2" s="13" t="s">
        <v>278</v>
      </c>
      <c r="D2" s="13" t="s">
        <v>279</v>
      </c>
      <c r="E2" s="13">
        <v>350</v>
      </c>
      <c r="F2" s="13">
        <v>5</v>
      </c>
      <c r="G2" s="13"/>
      <c r="H2" s="13" t="s">
        <v>280</v>
      </c>
      <c r="I2" s="2" t="s">
        <v>281</v>
      </c>
      <c r="J2" s="13"/>
      <c r="K2" s="13">
        <v>1400</v>
      </c>
      <c r="L2" s="13">
        <v>1</v>
      </c>
      <c r="M2" s="13"/>
      <c r="N2" s="13"/>
      <c r="O2" s="13"/>
      <c r="P2" s="13"/>
      <c r="Q2" s="13"/>
      <c r="R2" s="13"/>
      <c r="S2" s="13"/>
    </row>
    <row r="3" spans="1:19" ht="14.4" x14ac:dyDescent="0.3">
      <c r="A3" s="14" t="s">
        <v>282</v>
      </c>
      <c r="B3" s="14" t="s">
        <v>211</v>
      </c>
      <c r="C3" s="14" t="s">
        <v>278</v>
      </c>
      <c r="D3" s="14" t="s">
        <v>279</v>
      </c>
      <c r="E3" s="14">
        <v>200</v>
      </c>
      <c r="F3" s="14">
        <v>48</v>
      </c>
      <c r="G3" s="14"/>
      <c r="H3" s="14" t="s">
        <v>280</v>
      </c>
      <c r="I3" s="1"/>
      <c r="J3" s="14"/>
      <c r="K3" s="14">
        <v>900</v>
      </c>
      <c r="L3" s="14">
        <v>1</v>
      </c>
      <c r="M3" s="14"/>
      <c r="N3" s="14"/>
      <c r="O3" s="14"/>
      <c r="P3" s="14"/>
      <c r="Q3" s="14"/>
      <c r="R3" s="14"/>
      <c r="S3" s="14"/>
    </row>
    <row r="4" spans="1:19" ht="14.4" x14ac:dyDescent="0.3">
      <c r="A4" s="13" t="s">
        <v>283</v>
      </c>
      <c r="B4" s="13" t="s">
        <v>212</v>
      </c>
      <c r="C4" s="13" t="s">
        <v>278</v>
      </c>
      <c r="D4" s="13" t="s">
        <v>279</v>
      </c>
      <c r="E4" s="13">
        <v>280</v>
      </c>
      <c r="F4" s="13">
        <v>1</v>
      </c>
      <c r="G4" s="13"/>
      <c r="H4" s="13" t="s">
        <v>280</v>
      </c>
      <c r="I4" s="2"/>
      <c r="J4" s="13"/>
      <c r="K4" s="13">
        <v>1100</v>
      </c>
      <c r="L4" s="13">
        <v>1</v>
      </c>
      <c r="M4" s="13"/>
      <c r="N4" s="13"/>
      <c r="O4" s="13"/>
      <c r="P4" s="13"/>
      <c r="Q4" s="13"/>
      <c r="R4" s="13"/>
      <c r="S4" s="13"/>
    </row>
    <row r="5" spans="1:19" ht="14.4" x14ac:dyDescent="0.3">
      <c r="A5" s="14" t="s">
        <v>214</v>
      </c>
      <c r="B5" s="14" t="s">
        <v>214</v>
      </c>
      <c r="C5" s="14" t="s">
        <v>278</v>
      </c>
      <c r="D5" s="14" t="s">
        <v>279</v>
      </c>
      <c r="E5" s="14">
        <v>250</v>
      </c>
      <c r="F5" s="14">
        <v>4</v>
      </c>
      <c r="G5" s="14"/>
      <c r="H5" s="14" t="s">
        <v>280</v>
      </c>
      <c r="I5" s="2"/>
      <c r="J5" s="14"/>
      <c r="K5" s="14">
        <v>1000</v>
      </c>
      <c r="L5" s="14">
        <v>1</v>
      </c>
      <c r="M5" s="14"/>
      <c r="N5" s="14"/>
      <c r="O5" s="14"/>
      <c r="P5" s="14"/>
      <c r="Q5" s="14"/>
      <c r="R5" s="14"/>
      <c r="S5" s="14"/>
    </row>
    <row r="6" spans="1:19" ht="14.4" x14ac:dyDescent="0.3">
      <c r="A6" s="13" t="s">
        <v>284</v>
      </c>
      <c r="B6" s="13" t="s">
        <v>215</v>
      </c>
      <c r="C6" s="13" t="s">
        <v>278</v>
      </c>
      <c r="D6" s="13" t="s">
        <v>279</v>
      </c>
      <c r="E6" s="13">
        <v>200</v>
      </c>
      <c r="F6" s="13">
        <v>3</v>
      </c>
      <c r="G6" s="13"/>
      <c r="H6" s="13" t="s">
        <v>280</v>
      </c>
      <c r="I6" s="2"/>
      <c r="J6" s="13"/>
      <c r="K6" s="13">
        <v>900</v>
      </c>
      <c r="L6" s="13">
        <v>1</v>
      </c>
      <c r="M6" s="13"/>
      <c r="N6" s="13"/>
      <c r="O6" s="13"/>
      <c r="P6" s="13"/>
      <c r="Q6" s="13"/>
      <c r="R6" s="13"/>
      <c r="S6" s="13"/>
    </row>
    <row r="7" spans="1:19" ht="14.4" x14ac:dyDescent="0.3">
      <c r="A7" s="14" t="s">
        <v>285</v>
      </c>
      <c r="B7" s="14" t="s">
        <v>216</v>
      </c>
      <c r="C7" s="14" t="s">
        <v>174</v>
      </c>
      <c r="D7" s="14" t="s">
        <v>286</v>
      </c>
      <c r="E7" s="14">
        <v>160</v>
      </c>
      <c r="F7" s="14">
        <v>12</v>
      </c>
      <c r="G7" s="14"/>
      <c r="H7" s="14" t="s">
        <v>280</v>
      </c>
      <c r="I7" s="1"/>
      <c r="J7" s="14"/>
      <c r="K7" s="14">
        <v>500</v>
      </c>
      <c r="L7" s="14">
        <v>2</v>
      </c>
      <c r="M7" s="14"/>
      <c r="N7" s="14"/>
      <c r="O7" s="14"/>
      <c r="P7" s="14"/>
      <c r="Q7" s="14"/>
      <c r="R7" s="14"/>
      <c r="S7" s="14"/>
    </row>
    <row r="8" spans="1:19" ht="14.4" x14ac:dyDescent="0.3">
      <c r="A8" s="13" t="s">
        <v>287</v>
      </c>
      <c r="B8" s="13" t="s">
        <v>218</v>
      </c>
      <c r="C8" s="13" t="s">
        <v>174</v>
      </c>
      <c r="D8" s="13" t="s">
        <v>286</v>
      </c>
      <c r="E8" s="13">
        <v>160</v>
      </c>
      <c r="F8" s="13">
        <v>3</v>
      </c>
      <c r="G8" s="13"/>
      <c r="H8" s="13" t="s">
        <v>280</v>
      </c>
      <c r="I8" s="2"/>
      <c r="J8" s="13"/>
      <c r="K8" s="13">
        <v>500</v>
      </c>
      <c r="L8" s="13">
        <v>2</v>
      </c>
      <c r="M8" s="13"/>
      <c r="N8" s="13"/>
      <c r="O8" s="13"/>
      <c r="P8" s="13"/>
      <c r="Q8" s="13"/>
      <c r="R8" s="13"/>
      <c r="S8" s="13"/>
    </row>
    <row r="9" spans="1:19" ht="14.4" x14ac:dyDescent="0.3">
      <c r="A9" s="14" t="s">
        <v>288</v>
      </c>
      <c r="B9" s="14" t="s">
        <v>219</v>
      </c>
      <c r="C9" s="14" t="s">
        <v>174</v>
      </c>
      <c r="D9" s="14" t="s">
        <v>286</v>
      </c>
      <c r="E9" s="14">
        <v>140</v>
      </c>
      <c r="F9" s="14">
        <v>12</v>
      </c>
      <c r="G9" s="14"/>
      <c r="H9" s="14" t="s">
        <v>280</v>
      </c>
      <c r="I9" s="2"/>
      <c r="J9" s="14"/>
      <c r="K9" s="14">
        <v>450</v>
      </c>
      <c r="L9" s="14">
        <v>2</v>
      </c>
      <c r="M9" s="14"/>
      <c r="N9" s="14"/>
      <c r="O9" s="14"/>
      <c r="P9" s="14"/>
      <c r="Q9" s="14"/>
      <c r="R9" s="14"/>
      <c r="S9" s="14"/>
    </row>
    <row r="10" spans="1:19" ht="14.4" x14ac:dyDescent="0.3">
      <c r="A10" s="13" t="s">
        <v>289</v>
      </c>
      <c r="B10" s="13" t="s">
        <v>220</v>
      </c>
      <c r="C10" s="13" t="s">
        <v>174</v>
      </c>
      <c r="D10" s="13" t="s">
        <v>286</v>
      </c>
      <c r="E10" s="13">
        <v>140</v>
      </c>
      <c r="F10" s="13">
        <v>10</v>
      </c>
      <c r="G10" s="13"/>
      <c r="H10" s="13" t="s">
        <v>280</v>
      </c>
      <c r="I10" s="2"/>
      <c r="J10" s="13"/>
      <c r="K10" s="13">
        <v>450</v>
      </c>
      <c r="L10" s="13">
        <v>2</v>
      </c>
      <c r="M10" s="13"/>
      <c r="N10" s="13"/>
      <c r="O10" s="13"/>
      <c r="P10" s="13"/>
      <c r="Q10" s="13"/>
      <c r="R10" s="13"/>
      <c r="S10" s="13"/>
    </row>
    <row r="11" spans="1:19" ht="14.4" x14ac:dyDescent="0.3">
      <c r="A11" s="14" t="s">
        <v>221</v>
      </c>
      <c r="B11" s="14" t="s">
        <v>221</v>
      </c>
      <c r="C11" s="14" t="s">
        <v>174</v>
      </c>
      <c r="D11" s="14" t="s">
        <v>286</v>
      </c>
      <c r="E11" s="14">
        <v>100</v>
      </c>
      <c r="F11" s="14">
        <v>6</v>
      </c>
      <c r="G11" s="14"/>
      <c r="H11" s="14" t="s">
        <v>280</v>
      </c>
      <c r="I11" s="1"/>
      <c r="J11" s="14"/>
      <c r="K11" s="14">
        <v>350</v>
      </c>
      <c r="L11" s="14">
        <v>2</v>
      </c>
      <c r="M11" s="14"/>
      <c r="N11" s="14"/>
      <c r="O11" s="14"/>
      <c r="P11" s="14"/>
      <c r="Q11" s="14"/>
      <c r="R11" s="14"/>
      <c r="S11" s="14"/>
    </row>
    <row r="12" spans="1:19" ht="14.4" x14ac:dyDescent="0.3">
      <c r="A12" s="13" t="s">
        <v>290</v>
      </c>
      <c r="B12" s="13" t="s">
        <v>222</v>
      </c>
      <c r="C12" s="13" t="s">
        <v>174</v>
      </c>
      <c r="D12" s="13" t="s">
        <v>286</v>
      </c>
      <c r="E12" s="13">
        <v>100</v>
      </c>
      <c r="F12" s="13">
        <v>8</v>
      </c>
      <c r="G12" s="13"/>
      <c r="H12" s="13" t="s">
        <v>280</v>
      </c>
      <c r="I12" s="2"/>
      <c r="J12" s="13"/>
      <c r="K12" s="13">
        <v>350</v>
      </c>
      <c r="L12" s="13">
        <v>2</v>
      </c>
      <c r="M12" s="13"/>
      <c r="N12" s="13"/>
      <c r="O12" s="13"/>
      <c r="P12" s="13"/>
      <c r="Q12" s="13"/>
      <c r="R12" s="13"/>
      <c r="S12" s="13"/>
    </row>
    <row r="13" spans="1:19" ht="14.4" x14ac:dyDescent="0.3">
      <c r="A13" s="14" t="s">
        <v>223</v>
      </c>
      <c r="B13" s="14" t="s">
        <v>223</v>
      </c>
      <c r="C13" s="14" t="s">
        <v>174</v>
      </c>
      <c r="D13" s="14" t="s">
        <v>286</v>
      </c>
      <c r="E13" s="14">
        <v>100</v>
      </c>
      <c r="F13" s="14">
        <v>20</v>
      </c>
      <c r="G13" s="14"/>
      <c r="H13" s="14" t="s">
        <v>280</v>
      </c>
      <c r="I13" s="2"/>
      <c r="J13" s="14"/>
      <c r="K13" s="14">
        <v>350</v>
      </c>
      <c r="L13" s="14">
        <v>3</v>
      </c>
      <c r="M13" s="14"/>
      <c r="N13" s="14"/>
      <c r="O13" s="14"/>
      <c r="P13" s="14"/>
      <c r="Q13" s="14"/>
      <c r="R13" s="14"/>
      <c r="S13" s="14"/>
    </row>
    <row r="14" spans="1:19" ht="14.4" x14ac:dyDescent="0.3">
      <c r="A14" s="13" t="s">
        <v>291</v>
      </c>
      <c r="B14" s="13" t="s">
        <v>224</v>
      </c>
      <c r="C14" s="13" t="s">
        <v>174</v>
      </c>
      <c r="D14" s="13" t="s">
        <v>286</v>
      </c>
      <c r="E14" s="13">
        <v>100</v>
      </c>
      <c r="F14" s="13">
        <v>3</v>
      </c>
      <c r="G14" s="13"/>
      <c r="H14" s="13" t="s">
        <v>280</v>
      </c>
      <c r="I14" s="2"/>
      <c r="J14" s="13"/>
      <c r="K14" s="13">
        <v>350</v>
      </c>
      <c r="L14" s="13">
        <v>2</v>
      </c>
      <c r="M14" s="13"/>
      <c r="N14" s="13"/>
      <c r="O14" s="13"/>
      <c r="P14" s="13"/>
      <c r="Q14" s="13"/>
      <c r="R14" s="13"/>
      <c r="S14" s="13"/>
    </row>
    <row r="15" spans="1:19" ht="14.4" x14ac:dyDescent="0.3">
      <c r="A15" s="14" t="s">
        <v>292</v>
      </c>
      <c r="B15" s="14" t="s">
        <v>225</v>
      </c>
      <c r="C15" s="14" t="s">
        <v>174</v>
      </c>
      <c r="D15" s="14" t="s">
        <v>286</v>
      </c>
      <c r="E15" s="14">
        <v>100</v>
      </c>
      <c r="F15" s="14">
        <v>6</v>
      </c>
      <c r="G15" s="14"/>
      <c r="H15" s="14" t="s">
        <v>280</v>
      </c>
      <c r="I15" s="1"/>
      <c r="J15" s="14"/>
      <c r="K15" s="14">
        <v>350</v>
      </c>
      <c r="L15" s="14">
        <v>2</v>
      </c>
      <c r="M15" s="14"/>
      <c r="N15" s="14"/>
      <c r="O15" s="14"/>
      <c r="P15" s="14"/>
      <c r="Q15" s="14"/>
      <c r="R15" s="14"/>
      <c r="S15" s="14"/>
    </row>
    <row r="16" spans="1:19" ht="14.4" x14ac:dyDescent="0.3">
      <c r="A16" s="13" t="s">
        <v>293</v>
      </c>
      <c r="B16" s="13" t="s">
        <v>226</v>
      </c>
      <c r="C16" s="13" t="s">
        <v>174</v>
      </c>
      <c r="D16" s="13" t="s">
        <v>286</v>
      </c>
      <c r="E16" s="13">
        <v>80</v>
      </c>
      <c r="F16" s="13">
        <v>10</v>
      </c>
      <c r="G16" s="13"/>
      <c r="H16" s="13" t="s">
        <v>280</v>
      </c>
      <c r="I16" s="2"/>
      <c r="J16" s="13"/>
      <c r="K16" s="13">
        <v>300</v>
      </c>
      <c r="L16" s="13">
        <v>3</v>
      </c>
      <c r="M16" s="13"/>
      <c r="N16" s="13"/>
      <c r="O16" s="13"/>
      <c r="P16" s="13"/>
      <c r="Q16" s="13"/>
      <c r="R16" s="13"/>
      <c r="S16" s="13"/>
    </row>
    <row r="17" spans="1:19" ht="14.4" x14ac:dyDescent="0.3">
      <c r="A17" s="14" t="s">
        <v>227</v>
      </c>
      <c r="B17" s="14" t="s">
        <v>227</v>
      </c>
      <c r="C17" s="14" t="s">
        <v>174</v>
      </c>
      <c r="D17" s="14" t="s">
        <v>286</v>
      </c>
      <c r="E17" s="14">
        <v>80</v>
      </c>
      <c r="F17" s="14">
        <v>20</v>
      </c>
      <c r="G17" s="14"/>
      <c r="H17" s="14" t="s">
        <v>280</v>
      </c>
      <c r="I17" s="2"/>
      <c r="J17" s="14"/>
      <c r="K17" s="14">
        <v>300</v>
      </c>
      <c r="L17" s="14">
        <v>3</v>
      </c>
      <c r="M17" s="14"/>
      <c r="N17" s="14"/>
      <c r="O17" s="14"/>
      <c r="P17" s="14"/>
      <c r="Q17" s="14"/>
      <c r="R17" s="14"/>
      <c r="S17" s="14"/>
    </row>
    <row r="18" spans="1:19" ht="14.4" x14ac:dyDescent="0.3">
      <c r="A18" s="13" t="s">
        <v>294</v>
      </c>
      <c r="B18" s="13" t="s">
        <v>295</v>
      </c>
      <c r="C18" s="13" t="s">
        <v>174</v>
      </c>
      <c r="D18" s="13" t="s">
        <v>286</v>
      </c>
      <c r="E18" s="13">
        <v>80</v>
      </c>
      <c r="F18" s="13">
        <v>30</v>
      </c>
      <c r="G18" s="13"/>
      <c r="H18" s="13" t="s">
        <v>280</v>
      </c>
      <c r="I18" s="2"/>
      <c r="J18" s="13"/>
      <c r="K18" s="13">
        <v>300</v>
      </c>
      <c r="L18" s="13">
        <v>3</v>
      </c>
      <c r="M18" s="13"/>
      <c r="N18" s="13"/>
      <c r="O18" s="13"/>
      <c r="P18" s="13"/>
      <c r="Q18" s="13"/>
      <c r="R18" s="13"/>
      <c r="S18" s="13"/>
    </row>
    <row r="19" spans="1:19" ht="14.4" x14ac:dyDescent="0.3">
      <c r="A19" s="14" t="s">
        <v>229</v>
      </c>
      <c r="B19" s="14" t="s">
        <v>229</v>
      </c>
      <c r="C19" s="14" t="s">
        <v>174</v>
      </c>
      <c r="D19" s="14" t="s">
        <v>286</v>
      </c>
      <c r="E19" s="14">
        <v>80</v>
      </c>
      <c r="F19" s="14">
        <v>96</v>
      </c>
      <c r="G19" s="14"/>
      <c r="H19" s="14" t="s">
        <v>280</v>
      </c>
      <c r="I19" s="1"/>
      <c r="J19" s="14"/>
      <c r="K19" s="14">
        <v>300</v>
      </c>
      <c r="L19" s="14">
        <v>3</v>
      </c>
      <c r="M19" s="14"/>
      <c r="N19" s="14"/>
      <c r="O19" s="14"/>
      <c r="P19" s="14"/>
      <c r="Q19" s="14"/>
      <c r="R19" s="14"/>
      <c r="S19" s="14"/>
    </row>
    <row r="20" spans="1:19" ht="14.4" x14ac:dyDescent="0.3">
      <c r="A20" s="13" t="s">
        <v>230</v>
      </c>
      <c r="B20" s="13" t="s">
        <v>230</v>
      </c>
      <c r="C20" s="13" t="s">
        <v>174</v>
      </c>
      <c r="D20" s="13" t="s">
        <v>286</v>
      </c>
      <c r="E20" s="13">
        <v>80</v>
      </c>
      <c r="F20" s="13">
        <v>24</v>
      </c>
      <c r="G20" s="13"/>
      <c r="H20" s="13" t="s">
        <v>280</v>
      </c>
      <c r="I20" s="2"/>
      <c r="J20" s="13"/>
      <c r="K20" s="13">
        <v>300</v>
      </c>
      <c r="L20" s="13">
        <v>3</v>
      </c>
      <c r="M20" s="13"/>
      <c r="N20" s="13"/>
      <c r="O20" s="13"/>
      <c r="P20" s="13"/>
      <c r="Q20" s="13"/>
      <c r="R20" s="13"/>
      <c r="S20" s="13"/>
    </row>
    <row r="21" spans="1:19" ht="15.75" customHeight="1" x14ac:dyDescent="0.3">
      <c r="A21" s="14" t="s">
        <v>296</v>
      </c>
      <c r="B21" s="14" t="s">
        <v>231</v>
      </c>
      <c r="C21" s="14" t="s">
        <v>174</v>
      </c>
      <c r="D21" s="14" t="s">
        <v>286</v>
      </c>
      <c r="E21" s="14">
        <v>80</v>
      </c>
      <c r="F21" s="14">
        <v>20</v>
      </c>
      <c r="G21" s="14"/>
      <c r="H21" s="14" t="s">
        <v>280</v>
      </c>
      <c r="I21" s="2"/>
      <c r="J21" s="14"/>
      <c r="K21" s="14">
        <v>300</v>
      </c>
      <c r="L21" s="14">
        <v>3</v>
      </c>
      <c r="M21" s="14"/>
      <c r="N21" s="14"/>
      <c r="O21" s="14"/>
      <c r="P21" s="14"/>
      <c r="Q21" s="14"/>
      <c r="R21" s="14"/>
      <c r="S21" s="14"/>
    </row>
    <row r="22" spans="1:19" ht="15.75" customHeight="1" x14ac:dyDescent="0.3">
      <c r="A22" s="13" t="s">
        <v>232</v>
      </c>
      <c r="B22" s="13" t="s">
        <v>232</v>
      </c>
      <c r="C22" s="13" t="s">
        <v>174</v>
      </c>
      <c r="D22" s="13" t="s">
        <v>286</v>
      </c>
      <c r="E22" s="13">
        <v>80</v>
      </c>
      <c r="F22" s="13">
        <v>20</v>
      </c>
      <c r="G22" s="13"/>
      <c r="H22" s="13" t="s">
        <v>280</v>
      </c>
      <c r="I22" s="2"/>
      <c r="J22" s="13"/>
      <c r="K22" s="13">
        <v>300</v>
      </c>
      <c r="L22" s="13">
        <v>3</v>
      </c>
      <c r="M22" s="13"/>
      <c r="N22" s="13"/>
      <c r="O22" s="13"/>
      <c r="P22" s="13"/>
      <c r="Q22" s="13"/>
      <c r="R22" s="13"/>
      <c r="S22" s="13"/>
    </row>
    <row r="23" spans="1:19" ht="15.75" customHeight="1" x14ac:dyDescent="0.3">
      <c r="A23" s="14" t="s">
        <v>297</v>
      </c>
      <c r="B23" s="14" t="s">
        <v>233</v>
      </c>
      <c r="C23" s="14" t="s">
        <v>298</v>
      </c>
      <c r="D23" s="14" t="s">
        <v>299</v>
      </c>
      <c r="E23" s="14">
        <v>60</v>
      </c>
      <c r="F23" s="14">
        <v>7</v>
      </c>
      <c r="G23" s="14"/>
      <c r="H23" s="14" t="s">
        <v>280</v>
      </c>
      <c r="I23" s="1"/>
      <c r="J23" s="14"/>
      <c r="K23" s="14">
        <v>0</v>
      </c>
      <c r="L23" s="14"/>
      <c r="M23" s="14"/>
      <c r="N23" s="14"/>
      <c r="O23" s="14"/>
      <c r="P23" s="14"/>
      <c r="Q23" s="14"/>
      <c r="R23" s="14"/>
      <c r="S23" s="14"/>
    </row>
    <row r="24" spans="1:19" ht="15.75" customHeight="1" x14ac:dyDescent="0.3">
      <c r="A24" s="13" t="s">
        <v>300</v>
      </c>
      <c r="B24" s="13" t="s">
        <v>234</v>
      </c>
      <c r="C24" s="13" t="s">
        <v>298</v>
      </c>
      <c r="D24" s="13" t="s">
        <v>299</v>
      </c>
      <c r="E24" s="13">
        <v>60</v>
      </c>
      <c r="F24" s="13">
        <v>7</v>
      </c>
      <c r="G24" s="13"/>
      <c r="H24" s="13" t="s">
        <v>280</v>
      </c>
      <c r="I24" s="2"/>
      <c r="J24" s="13"/>
      <c r="K24" s="13">
        <v>0</v>
      </c>
      <c r="L24" s="13"/>
      <c r="M24" s="13"/>
      <c r="N24" s="13"/>
      <c r="O24" s="13"/>
      <c r="P24" s="13"/>
      <c r="Q24" s="13"/>
      <c r="R24" s="13"/>
      <c r="S24" s="13"/>
    </row>
    <row r="25" spans="1:19" ht="15.75" customHeight="1" x14ac:dyDescent="0.3">
      <c r="A25" s="14" t="s">
        <v>235</v>
      </c>
      <c r="B25" s="14" t="s">
        <v>235</v>
      </c>
      <c r="C25" s="14" t="s">
        <v>298</v>
      </c>
      <c r="D25" s="14" t="s">
        <v>299</v>
      </c>
      <c r="E25" s="14">
        <v>60</v>
      </c>
      <c r="F25" s="14">
        <v>7</v>
      </c>
      <c r="G25" s="14"/>
      <c r="H25" s="14" t="s">
        <v>280</v>
      </c>
      <c r="I25" s="2"/>
      <c r="J25" s="14"/>
      <c r="K25" s="14">
        <v>0</v>
      </c>
      <c r="L25" s="14"/>
      <c r="M25" s="14"/>
      <c r="N25" s="14"/>
      <c r="O25" s="14"/>
      <c r="P25" s="14"/>
      <c r="Q25" s="14"/>
      <c r="R25" s="14"/>
      <c r="S25" s="14"/>
    </row>
    <row r="26" spans="1:19" ht="15.75" customHeight="1" x14ac:dyDescent="0.3">
      <c r="A26" s="13" t="s">
        <v>236</v>
      </c>
      <c r="B26" s="13" t="s">
        <v>236</v>
      </c>
      <c r="C26" s="13" t="s">
        <v>298</v>
      </c>
      <c r="D26" s="13" t="s">
        <v>299</v>
      </c>
      <c r="E26" s="13">
        <v>50</v>
      </c>
      <c r="F26" s="13">
        <v>5</v>
      </c>
      <c r="G26" s="13"/>
      <c r="H26" s="13" t="s">
        <v>280</v>
      </c>
      <c r="I26" s="2"/>
      <c r="J26" s="13"/>
      <c r="K26" s="13">
        <v>0</v>
      </c>
      <c r="L26" s="13"/>
      <c r="M26" s="13"/>
      <c r="N26" s="13"/>
      <c r="O26" s="13"/>
      <c r="P26" s="13"/>
      <c r="Q26" s="13"/>
      <c r="R26" s="13"/>
      <c r="S26" s="13"/>
    </row>
    <row r="27" spans="1:19" ht="15.75" customHeight="1" x14ac:dyDescent="0.3">
      <c r="A27" s="14" t="s">
        <v>301</v>
      </c>
      <c r="B27" s="14" t="s">
        <v>237</v>
      </c>
      <c r="C27" s="14" t="s">
        <v>298</v>
      </c>
      <c r="D27" s="14" t="s">
        <v>299</v>
      </c>
      <c r="E27" s="14">
        <v>50</v>
      </c>
      <c r="F27" s="14">
        <v>18</v>
      </c>
      <c r="G27" s="14"/>
      <c r="H27" s="14" t="s">
        <v>280</v>
      </c>
      <c r="I27" s="1"/>
      <c r="J27" s="14"/>
      <c r="K27" s="14">
        <v>0</v>
      </c>
      <c r="L27" s="14"/>
      <c r="M27" s="14"/>
      <c r="N27" s="14"/>
      <c r="O27" s="14"/>
      <c r="P27" s="14"/>
      <c r="Q27" s="14"/>
      <c r="R27" s="14"/>
      <c r="S27" s="14"/>
    </row>
    <row r="28" spans="1:19" ht="15.75" customHeight="1" x14ac:dyDescent="0.3">
      <c r="A28" s="13" t="s">
        <v>302</v>
      </c>
      <c r="B28" s="13" t="s">
        <v>238</v>
      </c>
      <c r="C28" s="13" t="s">
        <v>298</v>
      </c>
      <c r="D28" s="13" t="s">
        <v>299</v>
      </c>
      <c r="E28" s="13">
        <v>50</v>
      </c>
      <c r="F28" s="13">
        <v>60</v>
      </c>
      <c r="G28" s="13"/>
      <c r="H28" s="13" t="s">
        <v>280</v>
      </c>
      <c r="I28" s="2"/>
      <c r="J28" s="13"/>
      <c r="K28" s="13">
        <v>0</v>
      </c>
      <c r="L28" s="13"/>
      <c r="M28" s="13"/>
      <c r="N28" s="13"/>
      <c r="O28" s="13"/>
      <c r="P28" s="13"/>
      <c r="Q28" s="13"/>
      <c r="R28" s="13"/>
      <c r="S28" s="13"/>
    </row>
    <row r="29" spans="1:19" ht="15.75" customHeight="1" x14ac:dyDescent="0.3">
      <c r="A29" s="14" t="s">
        <v>303</v>
      </c>
      <c r="B29" s="14" t="s">
        <v>239</v>
      </c>
      <c r="C29" s="14" t="s">
        <v>298</v>
      </c>
      <c r="D29" s="14" t="s">
        <v>299</v>
      </c>
      <c r="E29" s="14">
        <v>40</v>
      </c>
      <c r="F29" s="14">
        <v>48</v>
      </c>
      <c r="G29" s="14"/>
      <c r="H29" s="14" t="s">
        <v>280</v>
      </c>
      <c r="I29" s="2"/>
      <c r="J29" s="14"/>
      <c r="K29" s="14">
        <v>0</v>
      </c>
      <c r="L29" s="14"/>
      <c r="M29" s="14"/>
      <c r="N29" s="14"/>
      <c r="O29" s="14"/>
      <c r="P29" s="14"/>
      <c r="Q29" s="14"/>
      <c r="R29" s="14"/>
      <c r="S29" s="14"/>
    </row>
    <row r="30" spans="1:19" ht="15.75" customHeight="1" x14ac:dyDescent="0.3">
      <c r="A30" s="13" t="s">
        <v>240</v>
      </c>
      <c r="B30" s="13" t="s">
        <v>240</v>
      </c>
      <c r="C30" s="13" t="s">
        <v>298</v>
      </c>
      <c r="D30" s="13" t="s">
        <v>299</v>
      </c>
      <c r="E30" s="13">
        <v>40</v>
      </c>
      <c r="F30" s="13">
        <v>48</v>
      </c>
      <c r="G30" s="13"/>
      <c r="H30" s="13" t="s">
        <v>280</v>
      </c>
      <c r="I30" s="2"/>
      <c r="J30" s="13"/>
      <c r="K30" s="13">
        <v>0</v>
      </c>
      <c r="L30" s="13"/>
      <c r="M30" s="13"/>
      <c r="N30" s="13"/>
      <c r="O30" s="13"/>
      <c r="P30" s="13"/>
      <c r="Q30" s="13"/>
      <c r="R30" s="13"/>
      <c r="S30" s="13"/>
    </row>
    <row r="31" spans="1:19" ht="15.75" customHeight="1" x14ac:dyDescent="0.3">
      <c r="A31" s="14" t="s">
        <v>304</v>
      </c>
      <c r="B31" s="14" t="s">
        <v>241</v>
      </c>
      <c r="C31" s="14" t="s">
        <v>298</v>
      </c>
      <c r="D31" s="14" t="s">
        <v>299</v>
      </c>
      <c r="E31" s="14">
        <v>35</v>
      </c>
      <c r="F31" s="14">
        <v>36</v>
      </c>
      <c r="G31" s="14"/>
      <c r="H31" s="14" t="s">
        <v>280</v>
      </c>
      <c r="I31" s="1"/>
      <c r="J31" s="14"/>
      <c r="K31" s="14">
        <v>0</v>
      </c>
      <c r="L31" s="14"/>
      <c r="M31" s="14"/>
      <c r="N31" s="14"/>
      <c r="O31" s="14"/>
      <c r="P31" s="14"/>
      <c r="Q31" s="14"/>
      <c r="R31" s="14"/>
      <c r="S31" s="14"/>
    </row>
    <row r="32" spans="1:19" ht="15.75" customHeight="1" x14ac:dyDescent="0.3">
      <c r="A32" s="13" t="s">
        <v>305</v>
      </c>
      <c r="B32" s="13" t="s">
        <v>242</v>
      </c>
      <c r="C32" s="13" t="s">
        <v>298</v>
      </c>
      <c r="D32" s="13" t="s">
        <v>299</v>
      </c>
      <c r="E32" s="13">
        <v>30</v>
      </c>
      <c r="F32" s="13">
        <v>40</v>
      </c>
      <c r="G32" s="13"/>
      <c r="H32" s="13" t="s">
        <v>280</v>
      </c>
      <c r="I32" s="2"/>
      <c r="J32" s="13"/>
      <c r="K32" s="13">
        <v>0</v>
      </c>
      <c r="L32" s="13"/>
      <c r="M32" s="13"/>
      <c r="N32" s="13"/>
      <c r="O32" s="13"/>
      <c r="P32" s="13"/>
      <c r="Q32" s="13"/>
      <c r="R32" s="13"/>
      <c r="S32" s="13"/>
    </row>
    <row r="33" spans="1:19" ht="15.75" customHeight="1" x14ac:dyDescent="0.3">
      <c r="A33" s="14" t="s">
        <v>243</v>
      </c>
      <c r="B33" s="14" t="s">
        <v>243</v>
      </c>
      <c r="C33" s="14" t="s">
        <v>298</v>
      </c>
      <c r="D33" s="14" t="s">
        <v>299</v>
      </c>
      <c r="E33" s="14">
        <v>25</v>
      </c>
      <c r="F33" s="14">
        <v>70</v>
      </c>
      <c r="G33" s="14"/>
      <c r="H33" s="14" t="s">
        <v>280</v>
      </c>
      <c r="I33" s="2"/>
      <c r="J33" s="14"/>
      <c r="K33" s="14">
        <v>0</v>
      </c>
      <c r="L33" s="14"/>
      <c r="M33" s="14"/>
      <c r="N33" s="14"/>
      <c r="O33" s="14"/>
      <c r="P33" s="14"/>
      <c r="Q33" s="14"/>
      <c r="R33" s="14"/>
      <c r="S33" s="14"/>
    </row>
    <row r="34" spans="1:19" ht="15.75" customHeight="1" x14ac:dyDescent="0.3">
      <c r="A34" s="13" t="s">
        <v>244</v>
      </c>
      <c r="B34" s="13" t="s">
        <v>244</v>
      </c>
      <c r="C34" s="13" t="s">
        <v>298</v>
      </c>
      <c r="D34" s="13" t="s">
        <v>299</v>
      </c>
      <c r="E34" s="13">
        <v>25</v>
      </c>
      <c r="F34" s="13">
        <v>50</v>
      </c>
      <c r="G34" s="13"/>
      <c r="H34" s="13" t="s">
        <v>280</v>
      </c>
      <c r="I34" s="2"/>
      <c r="J34" s="13"/>
      <c r="K34" s="13">
        <v>0</v>
      </c>
      <c r="L34" s="13"/>
      <c r="M34" s="13"/>
      <c r="N34" s="13"/>
      <c r="O34" s="13"/>
      <c r="P34" s="13"/>
      <c r="Q34" s="13"/>
      <c r="R34" s="13"/>
      <c r="S34" s="13"/>
    </row>
    <row r="35" spans="1:19" ht="15.75" customHeight="1" x14ac:dyDescent="0.3">
      <c r="A35" s="14" t="s">
        <v>306</v>
      </c>
      <c r="B35" s="14" t="s">
        <v>245</v>
      </c>
      <c r="C35" s="14" t="s">
        <v>298</v>
      </c>
      <c r="D35" s="14" t="s">
        <v>299</v>
      </c>
      <c r="E35" s="14">
        <v>25</v>
      </c>
      <c r="F35" s="14">
        <v>50</v>
      </c>
      <c r="G35" s="14"/>
      <c r="H35" s="14" t="s">
        <v>280</v>
      </c>
      <c r="I35" s="1"/>
      <c r="J35" s="14"/>
      <c r="K35" s="14">
        <v>0</v>
      </c>
      <c r="L35" s="14"/>
      <c r="M35" s="14"/>
      <c r="N35" s="14"/>
      <c r="O35" s="14"/>
      <c r="P35" s="14"/>
      <c r="Q35" s="14"/>
      <c r="R35" s="14"/>
      <c r="S35" s="14"/>
    </row>
    <row r="36" spans="1:19" ht="15.75" customHeight="1" x14ac:dyDescent="0.3">
      <c r="A36" s="13" t="s">
        <v>307</v>
      </c>
      <c r="B36" s="13" t="s">
        <v>246</v>
      </c>
      <c r="C36" s="13" t="s">
        <v>298</v>
      </c>
      <c r="D36" s="13" t="s">
        <v>299</v>
      </c>
      <c r="E36" s="13">
        <v>20</v>
      </c>
      <c r="F36" s="13">
        <v>35</v>
      </c>
      <c r="G36" s="13"/>
      <c r="H36" s="13" t="s">
        <v>280</v>
      </c>
      <c r="I36" s="2"/>
      <c r="J36" s="13"/>
      <c r="K36" s="13">
        <v>0</v>
      </c>
      <c r="L36" s="13"/>
      <c r="M36" s="13"/>
      <c r="N36" s="13"/>
      <c r="O36" s="13"/>
      <c r="P36" s="13"/>
      <c r="Q36" s="13"/>
      <c r="R36" s="13"/>
      <c r="S36" s="13"/>
    </row>
    <row r="37" spans="1:19" ht="15.75" customHeight="1" x14ac:dyDescent="0.3">
      <c r="A37" s="14" t="s">
        <v>308</v>
      </c>
      <c r="B37" s="14" t="s">
        <v>247</v>
      </c>
      <c r="C37" s="14" t="s">
        <v>298</v>
      </c>
      <c r="D37" s="14" t="s">
        <v>299</v>
      </c>
      <c r="E37" s="14">
        <v>20</v>
      </c>
      <c r="F37" s="14">
        <v>200</v>
      </c>
      <c r="G37" s="14"/>
      <c r="H37" s="14" t="s">
        <v>280</v>
      </c>
      <c r="I37" s="2"/>
      <c r="J37" s="14"/>
      <c r="K37" s="14">
        <v>0</v>
      </c>
      <c r="L37" s="14"/>
      <c r="M37" s="14"/>
      <c r="N37" s="14"/>
      <c r="O37" s="14"/>
      <c r="P37" s="14"/>
      <c r="Q37" s="14"/>
      <c r="R37" s="14"/>
      <c r="S37" s="14"/>
    </row>
    <row r="38" spans="1:19" ht="15.75" customHeight="1" x14ac:dyDescent="0.3">
      <c r="A38" s="13" t="s">
        <v>248</v>
      </c>
      <c r="B38" s="13" t="s">
        <v>248</v>
      </c>
      <c r="C38" s="13" t="s">
        <v>298</v>
      </c>
      <c r="D38" s="13" t="s">
        <v>299</v>
      </c>
      <c r="E38" s="13">
        <v>20</v>
      </c>
      <c r="F38" s="13">
        <v>20</v>
      </c>
      <c r="G38" s="13"/>
      <c r="H38" s="13" t="s">
        <v>280</v>
      </c>
      <c r="I38" s="2"/>
      <c r="J38" s="13"/>
      <c r="K38" s="13">
        <v>0</v>
      </c>
      <c r="L38" s="13"/>
      <c r="M38" s="13"/>
      <c r="N38" s="13"/>
      <c r="O38" s="13"/>
      <c r="P38" s="13"/>
      <c r="Q38" s="13"/>
      <c r="R38" s="13"/>
      <c r="S38" s="13"/>
    </row>
    <row r="39" spans="1:19" ht="15.75" customHeight="1" x14ac:dyDescent="0.3">
      <c r="A39" s="14" t="s">
        <v>309</v>
      </c>
      <c r="B39" s="14" t="s">
        <v>249</v>
      </c>
      <c r="C39" s="14" t="s">
        <v>298</v>
      </c>
      <c r="D39" s="14" t="s">
        <v>299</v>
      </c>
      <c r="E39" s="14">
        <v>20</v>
      </c>
      <c r="F39" s="14">
        <v>25</v>
      </c>
      <c r="G39" s="14"/>
      <c r="H39" s="14" t="s">
        <v>280</v>
      </c>
      <c r="I39" s="1"/>
      <c r="J39" s="14"/>
      <c r="K39" s="14">
        <v>0</v>
      </c>
      <c r="L39" s="14"/>
      <c r="M39" s="14"/>
      <c r="N39" s="14"/>
      <c r="O39" s="14"/>
      <c r="P39" s="14"/>
      <c r="Q39" s="14"/>
      <c r="R39" s="14"/>
      <c r="S39" s="14"/>
    </row>
    <row r="40" spans="1:19" ht="15.75" customHeight="1" x14ac:dyDescent="0.3">
      <c r="A40" s="13" t="s">
        <v>310</v>
      </c>
      <c r="B40" s="13" t="s">
        <v>250</v>
      </c>
      <c r="C40" s="13" t="s">
        <v>298</v>
      </c>
      <c r="D40" s="13" t="s">
        <v>299</v>
      </c>
      <c r="E40" s="13">
        <v>20</v>
      </c>
      <c r="F40" s="13">
        <v>24</v>
      </c>
      <c r="G40" s="13"/>
      <c r="H40" s="13" t="s">
        <v>280</v>
      </c>
      <c r="I40" s="2"/>
      <c r="J40" s="13"/>
      <c r="K40" s="13">
        <v>0</v>
      </c>
      <c r="L40" s="13"/>
      <c r="M40" s="13"/>
      <c r="N40" s="13"/>
      <c r="O40" s="13"/>
      <c r="P40" s="13"/>
      <c r="Q40" s="13"/>
      <c r="R40" s="13"/>
      <c r="S40" s="13"/>
    </row>
    <row r="41" spans="1:19" ht="15.75" customHeight="1" x14ac:dyDescent="0.3">
      <c r="A41" s="14" t="s">
        <v>311</v>
      </c>
      <c r="B41" s="14" t="s">
        <v>251</v>
      </c>
      <c r="C41" s="14" t="s">
        <v>298</v>
      </c>
      <c r="D41" s="14" t="s">
        <v>299</v>
      </c>
      <c r="E41" s="14">
        <v>20</v>
      </c>
      <c r="F41" s="14">
        <v>80</v>
      </c>
      <c r="G41" s="14"/>
      <c r="H41" s="14" t="s">
        <v>280</v>
      </c>
      <c r="I41" s="2"/>
      <c r="J41" s="14"/>
      <c r="K41" s="14">
        <v>0</v>
      </c>
      <c r="L41" s="14"/>
      <c r="M41" s="14"/>
      <c r="N41" s="14"/>
      <c r="O41" s="14"/>
      <c r="P41" s="14"/>
      <c r="Q41" s="14"/>
      <c r="R41" s="14"/>
      <c r="S41" s="14"/>
    </row>
    <row r="42" spans="1:19" ht="15.75" customHeight="1" x14ac:dyDescent="0.3">
      <c r="A42" s="13" t="s">
        <v>312</v>
      </c>
      <c r="B42" s="13" t="s">
        <v>252</v>
      </c>
      <c r="C42" s="13" t="s">
        <v>298</v>
      </c>
      <c r="D42" s="13" t="s">
        <v>299</v>
      </c>
      <c r="E42" s="13">
        <v>20</v>
      </c>
      <c r="F42" s="13">
        <v>32</v>
      </c>
      <c r="G42" s="13"/>
      <c r="H42" s="13" t="s">
        <v>280</v>
      </c>
      <c r="I42" s="2"/>
      <c r="J42" s="13"/>
      <c r="K42" s="13">
        <v>0</v>
      </c>
      <c r="L42" s="13"/>
      <c r="M42" s="13"/>
      <c r="N42" s="13"/>
      <c r="O42" s="13"/>
      <c r="P42" s="13"/>
      <c r="Q42" s="13"/>
      <c r="R42" s="13"/>
      <c r="S42" s="13"/>
    </row>
    <row r="43" spans="1:19" ht="15.75" customHeight="1" x14ac:dyDescent="0.3">
      <c r="A43" s="14" t="s">
        <v>313</v>
      </c>
      <c r="B43" s="14" t="s">
        <v>253</v>
      </c>
      <c r="C43" s="14" t="s">
        <v>298</v>
      </c>
      <c r="D43" s="14" t="s">
        <v>299</v>
      </c>
      <c r="E43" s="14">
        <v>20</v>
      </c>
      <c r="F43" s="14">
        <v>80</v>
      </c>
      <c r="G43" s="14"/>
      <c r="H43" s="14" t="s">
        <v>280</v>
      </c>
      <c r="I43" s="1"/>
      <c r="J43" s="14"/>
      <c r="K43" s="14">
        <v>0</v>
      </c>
      <c r="L43" s="14"/>
      <c r="M43" s="14"/>
      <c r="N43" s="14"/>
      <c r="O43" s="14"/>
      <c r="P43" s="14"/>
      <c r="Q43" s="14"/>
      <c r="R43" s="14"/>
      <c r="S43" s="14"/>
    </row>
    <row r="44" spans="1:19" ht="15.75" customHeight="1" x14ac:dyDescent="0.3">
      <c r="A44" s="13" t="s">
        <v>314</v>
      </c>
      <c r="B44" s="13" t="s">
        <v>49</v>
      </c>
      <c r="C44" s="13" t="s">
        <v>315</v>
      </c>
      <c r="D44" s="13" t="s">
        <v>316</v>
      </c>
      <c r="E44" s="13">
        <v>30</v>
      </c>
      <c r="F44" s="13"/>
      <c r="G44" s="13" t="s">
        <v>50</v>
      </c>
      <c r="H44" s="13" t="s">
        <v>280</v>
      </c>
      <c r="I44" s="13"/>
      <c r="J44" s="13"/>
      <c r="K44" s="13">
        <v>0</v>
      </c>
      <c r="L44" s="13">
        <v>1</v>
      </c>
      <c r="M44" s="13"/>
      <c r="N44" s="13"/>
      <c r="O44" s="13"/>
      <c r="P44" s="13"/>
      <c r="Q44" s="13"/>
      <c r="R44" s="13"/>
      <c r="S44" s="13"/>
    </row>
    <row r="45" spans="1:19" ht="15.75" customHeight="1" x14ac:dyDescent="0.3">
      <c r="A45" s="14" t="s">
        <v>51</v>
      </c>
      <c r="B45" s="14" t="s">
        <v>51</v>
      </c>
      <c r="C45" s="14" t="s">
        <v>315</v>
      </c>
      <c r="D45" s="14" t="s">
        <v>316</v>
      </c>
      <c r="E45" s="14">
        <v>30</v>
      </c>
      <c r="F45" s="14"/>
      <c r="G45" s="14" t="s">
        <v>50</v>
      </c>
      <c r="H45" s="14" t="s">
        <v>280</v>
      </c>
      <c r="I45" s="14"/>
      <c r="J45" s="14"/>
      <c r="K45" s="14">
        <v>0</v>
      </c>
      <c r="L45" s="14">
        <v>1</v>
      </c>
      <c r="M45" s="14"/>
      <c r="N45" s="14"/>
      <c r="O45" s="14"/>
      <c r="P45" s="14"/>
      <c r="Q45" s="14"/>
      <c r="R45" s="14"/>
      <c r="S45" s="14"/>
    </row>
    <row r="46" spans="1:19" ht="15.75" customHeight="1" x14ac:dyDescent="0.3">
      <c r="A46" s="13" t="s">
        <v>317</v>
      </c>
      <c r="B46" s="13" t="s">
        <v>52</v>
      </c>
      <c r="C46" s="13" t="s">
        <v>315</v>
      </c>
      <c r="D46" s="13" t="s">
        <v>316</v>
      </c>
      <c r="E46" s="13">
        <v>35</v>
      </c>
      <c r="F46" s="13"/>
      <c r="G46" s="13" t="s">
        <v>50</v>
      </c>
      <c r="H46" s="13" t="s">
        <v>280</v>
      </c>
      <c r="I46" s="13"/>
      <c r="J46" s="13"/>
      <c r="K46" s="13">
        <v>0</v>
      </c>
      <c r="L46" s="13">
        <v>1</v>
      </c>
      <c r="M46" s="13"/>
      <c r="N46" s="13"/>
      <c r="O46" s="13"/>
      <c r="P46" s="13"/>
      <c r="Q46" s="13"/>
      <c r="R46" s="13"/>
      <c r="S46" s="13"/>
    </row>
    <row r="47" spans="1:19" ht="15.75" customHeight="1" x14ac:dyDescent="0.3">
      <c r="A47" s="14" t="s">
        <v>117</v>
      </c>
      <c r="B47" s="14" t="s">
        <v>53</v>
      </c>
      <c r="C47" s="14" t="s">
        <v>315</v>
      </c>
      <c r="D47" s="14" t="s">
        <v>316</v>
      </c>
      <c r="E47" s="14">
        <v>25</v>
      </c>
      <c r="F47" s="14"/>
      <c r="G47" s="14" t="s">
        <v>50</v>
      </c>
      <c r="H47" s="14" t="s">
        <v>280</v>
      </c>
      <c r="I47" s="14"/>
      <c r="J47" s="14"/>
      <c r="K47" s="14">
        <v>0</v>
      </c>
      <c r="L47" s="14">
        <v>1</v>
      </c>
      <c r="M47" s="14"/>
      <c r="N47" s="14"/>
      <c r="O47" s="14"/>
      <c r="P47" s="14"/>
      <c r="Q47" s="14"/>
      <c r="R47" s="14"/>
      <c r="S47" s="14"/>
    </row>
    <row r="48" spans="1:19" ht="15.75" customHeight="1" x14ac:dyDescent="0.3">
      <c r="A48" s="13" t="s">
        <v>318</v>
      </c>
      <c r="B48" s="13" t="s">
        <v>319</v>
      </c>
      <c r="C48" s="13" t="s">
        <v>102</v>
      </c>
      <c r="D48" s="13" t="s">
        <v>121</v>
      </c>
      <c r="E48" s="13">
        <v>25</v>
      </c>
      <c r="F48" s="13"/>
      <c r="G48" s="13" t="s">
        <v>320</v>
      </c>
      <c r="H48" s="13" t="s">
        <v>280</v>
      </c>
      <c r="I48" s="13"/>
      <c r="J48" s="13"/>
      <c r="K48" s="13">
        <v>0</v>
      </c>
      <c r="L48" s="13">
        <v>13</v>
      </c>
      <c r="M48" s="13"/>
      <c r="N48" s="13"/>
      <c r="O48" s="13"/>
      <c r="P48" s="13"/>
      <c r="Q48" s="13"/>
      <c r="R48" s="13"/>
      <c r="S48" s="13"/>
    </row>
    <row r="49" spans="1:19" ht="15.75" customHeight="1" x14ac:dyDescent="0.3">
      <c r="A49" s="14" t="s">
        <v>321</v>
      </c>
      <c r="B49" s="14" t="s">
        <v>322</v>
      </c>
      <c r="C49" s="14" t="s">
        <v>180</v>
      </c>
      <c r="D49" s="14" t="s">
        <v>323</v>
      </c>
      <c r="E49" s="14">
        <v>25</v>
      </c>
      <c r="F49" s="14"/>
      <c r="G49" s="14" t="s">
        <v>324</v>
      </c>
      <c r="H49" s="14" t="s">
        <v>280</v>
      </c>
      <c r="I49" s="14"/>
      <c r="J49" s="14"/>
      <c r="K49" s="14">
        <v>0</v>
      </c>
      <c r="L49" s="14">
        <v>11</v>
      </c>
      <c r="M49" s="14"/>
      <c r="N49" s="14"/>
      <c r="O49" s="14"/>
      <c r="P49" s="14"/>
      <c r="Q49" s="14"/>
      <c r="R49" s="14"/>
      <c r="S49" s="14"/>
    </row>
    <row r="50" spans="1:19" ht="15.75" customHeight="1" x14ac:dyDescent="0.3">
      <c r="A50" s="13" t="s">
        <v>325</v>
      </c>
      <c r="B50" s="13" t="s">
        <v>326</v>
      </c>
      <c r="C50" s="13" t="s">
        <v>327</v>
      </c>
      <c r="D50" s="13" t="s">
        <v>328</v>
      </c>
      <c r="E50" s="13">
        <v>50</v>
      </c>
      <c r="F50" s="13"/>
      <c r="G50" s="13" t="s">
        <v>329</v>
      </c>
      <c r="H50" s="13" t="s">
        <v>280</v>
      </c>
      <c r="I50" s="13"/>
      <c r="J50" s="13"/>
      <c r="K50" s="13">
        <v>0</v>
      </c>
      <c r="L50" s="13">
        <v>5</v>
      </c>
      <c r="M50" s="13"/>
      <c r="N50" s="13"/>
      <c r="O50" s="13"/>
      <c r="P50" s="13"/>
      <c r="Q50" s="13"/>
      <c r="R50" s="13"/>
      <c r="S50" s="13"/>
    </row>
    <row r="51" spans="1:19" ht="15.75" customHeight="1" x14ac:dyDescent="0.3"/>
    <row r="52" spans="1:19" ht="15.75" customHeight="1" x14ac:dyDescent="0.3"/>
    <row r="53" spans="1:19" ht="15.75" customHeight="1" x14ac:dyDescent="0.3"/>
    <row r="54" spans="1:19" ht="15.75" customHeight="1" x14ac:dyDescent="0.3"/>
    <row r="55" spans="1:19" ht="15.75" customHeight="1" x14ac:dyDescent="0.3"/>
    <row r="56" spans="1:19" ht="15.75" customHeight="1" x14ac:dyDescent="0.3"/>
    <row r="57" spans="1:19" ht="15.75" customHeight="1" x14ac:dyDescent="0.3"/>
    <row r="58" spans="1:19" ht="15.75" customHeight="1" x14ac:dyDescent="0.3"/>
    <row r="59" spans="1:19" ht="15.75" customHeight="1" x14ac:dyDescent="0.3"/>
    <row r="60" spans="1:19" ht="15.75" customHeight="1" x14ac:dyDescent="0.3"/>
    <row r="61" spans="1:19" ht="15.75" customHeight="1" x14ac:dyDescent="0.3"/>
    <row r="62" spans="1:19" ht="15.75" customHeight="1" x14ac:dyDescent="0.3"/>
    <row r="63" spans="1:19" ht="15.75" customHeight="1" x14ac:dyDescent="0.3"/>
    <row r="64" spans="1:1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סיכום כללי</vt:lpstr>
      <vt:lpstr>תמחור מפורט</vt:lpstr>
      <vt:lpstr>בדיקת קיצון</vt:lpstr>
      <vt:lpstr>לוח זמנים</vt:lpstr>
      <vt:lpstr>מלאי מוצרים</vt:lpstr>
      <vt:lpstr>תבנית קופה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יעקב ישראל הלוי</cp:lastModifiedBy>
  <dcterms:modified xsi:type="dcterms:W3CDTF">2026-02-25T08:46:46Z</dcterms:modified>
</cp:coreProperties>
</file>